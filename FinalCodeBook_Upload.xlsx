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hD\WIP\Education_Mapping\"/>
    </mc:Choice>
  </mc:AlternateContent>
  <bookViews>
    <workbookView xWindow="0" yWindow="0" windowWidth="23040" windowHeight="9252" tabRatio="853" activeTab="8"/>
  </bookViews>
  <sheets>
    <sheet name="Inside content" sheetId="2" r:id="rId1"/>
    <sheet name="Source metadata" sheetId="6" r:id="rId2"/>
    <sheet name="Inclusion Exclusion criteria" sheetId="3" r:id="rId3"/>
    <sheet name="PICOC Search string and counts" sheetId="4" r:id="rId4"/>
    <sheet name="QA check" sheetId="5" r:id="rId5"/>
    <sheet name="Coding matrix evidences" sheetId="7" r:id="rId6"/>
    <sheet name="Code definitions" sheetId="9" r:id="rId7"/>
    <sheet name="Inter coder agreement" sheetId="1" r:id="rId8"/>
    <sheet name="Results summary" sheetId="8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8" l="1"/>
  <c r="D29" i="8"/>
  <c r="E28" i="8"/>
  <c r="D28" i="8"/>
  <c r="E27" i="8"/>
  <c r="D27" i="8"/>
  <c r="E26" i="8"/>
  <c r="D26" i="8"/>
  <c r="E25" i="8"/>
  <c r="D25" i="8"/>
  <c r="C37" i="4" l="1"/>
  <c r="D37" i="4"/>
  <c r="E37" i="4"/>
  <c r="B37" i="4"/>
  <c r="E30" i="4"/>
  <c r="D30" i="4"/>
  <c r="C30" i="4"/>
  <c r="B30" i="4"/>
  <c r="O30" i="5"/>
  <c r="P30" i="5" s="1"/>
  <c r="O29" i="5"/>
  <c r="P29" i="5" s="1"/>
  <c r="O28" i="5"/>
  <c r="P28" i="5" s="1"/>
  <c r="O27" i="5"/>
  <c r="P27" i="5" s="1"/>
  <c r="O26" i="5"/>
  <c r="P26" i="5" s="1"/>
  <c r="O25" i="5"/>
  <c r="P25" i="5" s="1"/>
  <c r="P24" i="5"/>
  <c r="O24" i="5"/>
  <c r="O23" i="5"/>
  <c r="P23" i="5" s="1"/>
  <c r="O18" i="5"/>
  <c r="P18" i="5" s="1"/>
  <c r="O17" i="5"/>
  <c r="P17" i="5" s="1"/>
  <c r="P16" i="5"/>
  <c r="O16" i="5"/>
  <c r="O15" i="5"/>
  <c r="P15" i="5" s="1"/>
  <c r="O14" i="5"/>
  <c r="P14" i="5" s="1"/>
  <c r="O13" i="5"/>
  <c r="P13" i="5" s="1"/>
  <c r="O12" i="5"/>
  <c r="P12" i="5" s="1"/>
  <c r="O11" i="5"/>
  <c r="P11" i="5" s="1"/>
  <c r="O10" i="5"/>
  <c r="P10" i="5" s="1"/>
  <c r="O9" i="5"/>
  <c r="P9" i="5" s="1"/>
  <c r="O8" i="5"/>
  <c r="P8" i="5" s="1"/>
  <c r="O7" i="5"/>
  <c r="P7" i="5" s="1"/>
  <c r="O6" i="5"/>
  <c r="P6" i="5" s="1"/>
  <c r="O5" i="5"/>
  <c r="P5" i="5" s="1"/>
  <c r="P4" i="5"/>
  <c r="O4" i="5"/>
  <c r="R4" i="1" l="1"/>
  <c r="R3" i="1"/>
  <c r="R2" i="1"/>
  <c r="R5" i="1" s="1"/>
</calcChain>
</file>

<file path=xl/sharedStrings.xml><?xml version="1.0" encoding="utf-8"?>
<sst xmlns="http://schemas.openxmlformats.org/spreadsheetml/2006/main" count="3087" uniqueCount="1085">
  <si>
    <t>Description</t>
  </si>
  <si>
    <t>Conceptual tasks related to PQC</t>
  </si>
  <si>
    <t>Dependency identification</t>
  </si>
  <si>
    <t xml:space="preserve"> Implementation </t>
  </si>
  <si>
    <t xml:space="preserve">Application integration </t>
  </si>
  <si>
    <t xml:space="preserve">Risk  </t>
  </si>
  <si>
    <t xml:space="preserve">Transition/migration planning </t>
  </si>
  <si>
    <t>Standards/algorithms  stated</t>
  </si>
  <si>
    <t>NICE Knowledge</t>
  </si>
  <si>
    <t>NICE skills</t>
  </si>
  <si>
    <t>Task addressed by the course</t>
  </si>
  <si>
    <t>Task evidence</t>
  </si>
  <si>
    <t>Explicit competency specification (Y/N/NR)</t>
  </si>
  <si>
    <t>Explicit task–competency alignment (Y/N/NR)</t>
  </si>
  <si>
    <t>NICE Competency Areas listed</t>
  </si>
  <si>
    <t>NICE Work Roles listed</t>
  </si>
  <si>
    <t xml:space="preserve">Cryptography competency explicitly listed </t>
  </si>
  <si>
    <t>Total counts</t>
  </si>
  <si>
    <t>Agree</t>
  </si>
  <si>
    <t>Disagree</t>
  </si>
  <si>
    <t>Total count of agree / diagree</t>
  </si>
  <si>
    <t>Inter coder agreement (%)</t>
  </si>
  <si>
    <t>Inter coder agreement</t>
  </si>
  <si>
    <t>Sheet name</t>
  </si>
  <si>
    <t>Presented information</t>
  </si>
  <si>
    <t>Source metadata</t>
  </si>
  <si>
    <t>QA check</t>
  </si>
  <si>
    <t>Code definitions</t>
  </si>
  <si>
    <t>Coding matrix evidences</t>
  </si>
  <si>
    <t>Inclusion Exclusion criteria</t>
  </si>
  <si>
    <t>PICOC Search string and counts</t>
  </si>
  <si>
    <t>Training offerings</t>
  </si>
  <si>
    <t>Inclusion criterion</t>
  </si>
  <si>
    <t>ID</t>
  </si>
  <si>
    <t>Rule</t>
  </si>
  <si>
    <t>Structured learning intervention</t>
  </si>
  <si>
    <t>The source describes a course, training programme, learning module, laboratory, workshop, or other structured educational intervention.</t>
  </si>
  <si>
    <t>Explicit PQC focus</t>
  </si>
  <si>
    <t>The intervention explicitly addresses post-quantum cryptography, post-quantum security, or quantum-safe cryptography as a dedicated or substantial component.</t>
  </si>
  <si>
    <t>Relevant learner population</t>
  </si>
  <si>
    <t>The intervention targets, or is applicable to, software developers/engineers, cybersecurity or IT professionals, computing students, architects, security engineers, or comparable technical learners.</t>
  </si>
  <si>
    <t>Relevant learning content</t>
  </si>
  <si>
    <t>The intervention addresses knowledge, skills, or practices relevant to PQC understanding, implementation, integration, security analysis, algorithm/parameter selection, migration, crypto-agility, risk assessment, or related adoption activities.</t>
  </si>
  <si>
    <t>Sufficient information for evidence extraction</t>
  </si>
  <si>
    <t>Accessible and interpretable source</t>
  </si>
  <si>
    <t>The course/resource description is publicly accessible and contains sufficient English-language information for reliable screening and coding.</t>
  </si>
  <si>
    <t>Exclusion criterion</t>
  </si>
  <si>
    <t>Sources less than or equal 30 mins</t>
  </si>
  <si>
    <t>Not a structured learning intervention</t>
  </si>
  <si>
    <t>News articles, blogs, product pages, advertisements, documentation, press releases, standards, white papers, or general informational webpages that do not constitute structured learning.</t>
  </si>
  <si>
    <t>Insufficient PQC coverage</t>
  </si>
  <si>
    <t>PQC is only mentioned incidentally, briefly, or as one minor topic without meaningful educational content.</t>
  </si>
  <si>
    <t>Outside relevant learner scope</t>
  </si>
  <si>
    <t>The intervention is designed solely for non-technical/general audiences and contains no meaningful developer, cybersecurity, computing, or technical capability development.</t>
  </si>
  <si>
    <t>Outside PQC-adoption learning scope</t>
  </si>
  <si>
    <t>The intervention concerns quantum computing generally but does not provide substantive learning relevant to PQC or quantum-safe cryptographic practice.</t>
  </si>
  <si>
    <t>Insufficient information</t>
  </si>
  <si>
    <t>Only a title, registration page, price, or marketing statement is available, with insufficient information to extract evidence for any RQ.</t>
  </si>
  <si>
    <t>Duplicate intervention</t>
  </si>
  <si>
    <t>Formal academic publication</t>
  </si>
  <si>
    <t>Unavailable/inaccessible evidence</t>
  </si>
  <si>
    <t>The course description cannot be accessed and no sufficiently detailed public description can be obtained.</t>
  </si>
  <si>
    <t>Language limitation</t>
  </si>
  <si>
    <t>URL</t>
  </si>
  <si>
    <t>Garousi QA dimension and score</t>
  </si>
  <si>
    <t>Total score</t>
  </si>
  <si>
    <t>Quality score</t>
  </si>
  <si>
    <t>QA1</t>
  </si>
  <si>
    <t>QA2</t>
  </si>
  <si>
    <t>QA3</t>
  </si>
  <si>
    <t>QA4</t>
  </si>
  <si>
    <t>QA5</t>
  </si>
  <si>
    <t>QA6</t>
  </si>
  <si>
    <t>QA7</t>
  </si>
  <si>
    <t>QA8</t>
  </si>
  <si>
    <t>QA9</t>
  </si>
  <si>
    <t>QA10</t>
  </si>
  <si>
    <t>QA11</t>
  </si>
  <si>
    <t>QA12</t>
  </si>
  <si>
    <t>QA ID</t>
  </si>
  <si>
    <t>Dimension</t>
  </si>
  <si>
    <t>https://www.tonex.com/training-courses/certified-post-quantum-cybersecurity-expert-cpqce/</t>
  </si>
  <si>
    <t>Authority</t>
  </si>
  <si>
    <t>Is the organisation/training provider clearly identifiable?</t>
  </si>
  <si>
    <t>https://www.tonex.com/training-courses/certified-quantum-cryptography-architect-cqca/</t>
  </si>
  <si>
    <t>Does the provider demonstrate relevant expertise in cybersecurity, cryptography, PQC, or professional technical training?</t>
  </si>
  <si>
    <t>https://www.tonex.com/training-courses/introduction-to-quantum-computing-security-for-programmers-iqcsp/</t>
  </si>
  <si>
    <t>Methodology / Purpose</t>
  </si>
  <si>
    <t>Does the course have a clearly stated aim or purpose?</t>
  </si>
  <si>
    <t>https://www.tonex.com/training-courses/certified-quantum-post-quantum-cryptography-professional-qpqcp/</t>
  </si>
  <si>
    <t>Methodology / Scope</t>
  </si>
  <si>
    <t>Is the intended learner population or target audience clearly specified?</t>
  </si>
  <si>
    <t>https://www.tonex.com/training-courses/quantum-resistant-cryptography-and-its-defense-applications-training/</t>
  </si>
  <si>
    <t>Are learning objectives, topics, or course contents sufficiently described?</t>
  </si>
  <si>
    <t>https://www.tonex.com/training-courses/post-quantum-authentication-and-key-infrastructure-pqaki-essentials/</t>
  </si>
  <si>
    <t>Methodology / Transparency</t>
  </si>
  <si>
    <t>Is enough information provided to determine what PQC knowledge or skills are actually taught?</t>
  </si>
  <si>
    <t>https://www.tonex.com/training-courses/certified-quantum-cryptography-and-security-specialist-cqcss/</t>
  </si>
  <si>
    <t>Methodology / Evidence</t>
  </si>
  <si>
    <t>Does the description identify authoritative standards, frameworks, references, technologies, or recognised PQC algorithms where relevant?</t>
  </si>
  <si>
    <t>https://www.tonex.com/training-courses/introduction-to-post-quantum-cryptography/</t>
  </si>
  <si>
    <t>Objectivity</t>
  </si>
  <si>
    <t>Is the description primarily informative/educational rather than purely promotional?</t>
  </si>
  <si>
    <t>https://www.udemy.com/course/quantum-computing-risks-to-encryption-and-the-implications/?couponCode=UDEAFFHP2026</t>
  </si>
  <si>
    <t>Are claims about learning, capability, certification, or outcomes supported by identifiable course content or assessment information?</t>
  </si>
  <si>
    <t>https://www.coursera.org/learn/post-quantum-cryptography-foundations</t>
  </si>
  <si>
    <t>Date</t>
  </si>
  <si>
    <t>Is a publication / source, update, or current-status date identifiable?</t>
  </si>
  <si>
    <t>https://www.udemy.com/course/quantum-computing-risk-and-security-masterclass</t>
  </si>
  <si>
    <t>Novelty / contribution</t>
  </si>
  <si>
    <t>Does the source provide relevant evidence that contributes to at least one review RQ?</t>
  </si>
  <si>
    <t>https://www.edx.org/learn/computer-science/university-system-of-maryland-introduction-to-post-quantum-cryptography</t>
  </si>
  <si>
    <t>Outlet control</t>
  </si>
  <si>
    <t>Is the source published through a controlled, traceable, reputable outlet such as NICCS/CISA, a recognised university, standards body, or established professional organisation?</t>
  </si>
  <si>
    <t>https://www.udemy.com/course/post-quantum-crypto-migration-inventory-plan-execute/?couponCode=UDEAFFHP2026</t>
  </si>
  <si>
    <t>https://www.udemy.com/course/post-quantum-cryptography-applied-pqc-nist-standards/?couponCode=UDEAFFHP2026</t>
  </si>
  <si>
    <t>Score</t>
  </si>
  <si>
    <t>Score for A7</t>
  </si>
  <si>
    <t>https://www.udemy.com/course/post-quantum-cryptography-the-nist-standards-explained/?couponCode=UDEAFFHP2026</t>
  </si>
  <si>
    <t>1 = Yes</t>
  </si>
  <si>
    <t>1 = Explicitly identifies at least one named authoritative standard/ body/ framework, or specific recognised algorithm/ protocol/ library/ tool/ technology relevant to PQC.</t>
  </si>
  <si>
    <t>0.5 = Partially</t>
  </si>
  <si>
    <t>0.5 = Refers only to generic standards, standardisation, algorithm families, frameworks, libraries or technologies, without identifying a specific authoritative source or named technical artefact.</t>
  </si>
  <si>
    <t>0 = No / Not reported</t>
  </si>
  <si>
    <t>0 = No identifiable PQC standard/ framework/ reference/ technology/ algorithm is reported.</t>
  </si>
  <si>
    <t>Title</t>
  </si>
  <si>
    <t>Quality score (%)</t>
  </si>
  <si>
    <t>PQCIP: A Post-Quantum Cryptography Educational Program for Cybersecurity Professionals</t>
  </si>
  <si>
    <t>A Lightweight Plug-in Module for Introducing
Post-Quantum Cryptography in Higher Education: An Experience Report</t>
  </si>
  <si>
    <t>Bridging Theory and Practice via PQC Hands-On Laboratories in Cybersecurity Education</t>
  </si>
  <si>
    <t>Research aim</t>
  </si>
  <si>
    <t>Are the aims, objectives, or research questions of the study clearly stated?</t>
  </si>
  <si>
    <t>Towards a Quantum-Resistant Future: Experiences in Post-Quantum Cryptography Education</t>
  </si>
  <si>
    <t>Context</t>
  </si>
  <si>
    <t>Is the educational/research context adequately described, including the learning setting and intended learner population?</t>
  </si>
  <si>
    <t>Modular Approach to Teaching Post-Quantum Cryptography</t>
  </si>
  <si>
    <t>Intervention description</t>
  </si>
  <si>
    <t>Is the proposed or implemented learning approach, course, module, laboratory, tool, or educational intervention sufficiently described?</t>
  </si>
  <si>
    <t>Designing and Delivering a Post-Quantum Cryptography Course</t>
  </si>
  <si>
    <t>Research design</t>
  </si>
  <si>
    <t>Is the research or evaluation design appropriate for addressing the stated aims or claims of the study?</t>
  </si>
  <si>
    <t>Quantum-Ready Education: Preparing Students for  Post-Quantum Computing Societies</t>
  </si>
  <si>
    <t>Participants / evidence sources</t>
  </si>
  <si>
    <t>Are the participants, sample, study materials, or other sources of evidence adequately described and justified?</t>
  </si>
  <si>
    <t>An interactive tool for teaching lattice-based 
post-quantum cryptography</t>
  </si>
  <si>
    <t>Data collection</t>
  </si>
  <si>
    <t>Are the data collection or evaluation procedures sufficiently described and appropriate for the study objectives?</t>
  </si>
  <si>
    <t>Outcome measurement</t>
  </si>
  <si>
    <t>Are the learning outcomes, competencies, performance measures, assessment criteria, or other evaluation measures clearly defined and appropriate?</t>
  </si>
  <si>
    <t>Data analysis</t>
  </si>
  <si>
    <t>Is the analysis of quantitative and/or qualitative evidence sufficiently rigorous and transparently described?</t>
  </si>
  <si>
    <t>Evidence–claim alignment</t>
  </si>
  <si>
    <t>Are the reported findings and claims supported by the evidence presented?</t>
  </si>
  <si>
    <t>Validity / limitations</t>
  </si>
  <si>
    <t>Does the study acknowledge relevant limitations, threats to validity, biases, or constraints affecting interpretation of the findings?</t>
  </si>
  <si>
    <t>Conclusions</t>
  </si>
  <si>
    <t>Are the conclusions and implications consistent with the study results and appropriately bounded by the evidence?</t>
  </si>
  <si>
    <t>Transparency / reproducibility</t>
  </si>
  <si>
    <t>Is sufficient methodological and intervention detail provided to understand, reproduce, adapt, or independently assess the study?</t>
  </si>
  <si>
    <t>Criterion is explicitly and adequately addressed. Sufficient information is provided to make a confident judgement.</t>
  </si>
  <si>
    <t>Criterion is addressed, but information is incomplete, unclear, weakly justified, or only partially satisfies the requirement.</t>
  </si>
  <si>
    <t>Criterion is absent, inadequately addressed, or insufficient information is provided to make a positive judgement.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</si>
  <si>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</si>
  <si>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</si>
  <si>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</si>
  <si>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</si>
  <si>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</si>
  <si>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</si>
  <si>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</si>
  <si>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</si>
  <si>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</si>
  <si>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</si>
  <si>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</si>
  <si>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</si>
  <si>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</si>
  <si>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</si>
  <si>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</si>
  <si>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R1</t>
  </si>
  <si>
    <t>R2</t>
  </si>
  <si>
    <t>R3</t>
  </si>
  <si>
    <t>R4</t>
  </si>
  <si>
    <t>R5</t>
  </si>
  <si>
    <t>R6</t>
  </si>
  <si>
    <t>R7</t>
  </si>
  <si>
    <t>R8</t>
  </si>
  <si>
    <t>Research papers</t>
  </si>
  <si>
    <t>Element</t>
  </si>
  <si>
    <t>Definition</t>
  </si>
  <si>
    <t>Primary phase</t>
  </si>
  <si>
    <t>Population</t>
  </si>
  <si>
    <t>Software developers</t>
  </si>
  <si>
    <t>security engineer*, secure software engineer*, secure software coder*, secure software developer*, secure software programmer*</t>
  </si>
  <si>
    <t>Intervention</t>
  </si>
  <si>
    <t xml:space="preserve">Available developer assistant to implement PCQ </t>
  </si>
  <si>
    <t>Comparison</t>
  </si>
  <si>
    <t>Outcome</t>
  </si>
  <si>
    <t>Post-Quantum cryptography , Quantum-safe cryptography ,Post-Quantum , Post Quantum cryptography</t>
  </si>
  <si>
    <t>(developer* OR "software developer*" OR "software engineer*" OR programmer* OR coder* OR "software architect*" OR "software designer*" OR practitioner*)
AND
(educat* OR train* OR learn* OR teach* OR pedagog* OR course* OR curriculum* OR workshop* OR tutorial* OR intervention* OR simulation* OR gamif* OR "learning approach*" OR "learning strateg*" OR "teaching approach*" OR "teaching strateg*" OR "training program*" OR "educational approach*" OR "educational intervention*" OR "learning platform*" OR "developer support*")
AND
("post-quantum cryptograph*" OR "post quantum cryptograph*" OR PQC OR "quantum-resistant cryptograph*" OR "quantum resistant cryptograph*" OR "quantum-safe cryptograph*" OR "quantum safe cryptograph*" OR "quantum-secure cryptograph*" OR "quantum secure cryptograph*")</t>
  </si>
  <si>
    <t>RQ1</t>
  </si>
  <si>
    <t>RQ2</t>
  </si>
  <si>
    <t>RQ3</t>
  </si>
  <si>
    <t>RQ4</t>
  </si>
  <si>
    <t>The publicly accessible source provides enough information (objectives, syllabus, module descriptions, topics, tasks, audience, or assessment) to contribute evidence to at least one research question.</t>
  </si>
  <si>
    <t>The same course is identified through multiple search strings, NICCS and Google, or multiple URLs. Retain one unique record (first occurance) and record all discovery routes.</t>
  </si>
  <si>
    <t>Peer-reviewed journal/conference papers are excluded from the training corpus because they are already handled through SLR stream.</t>
  </si>
  <si>
    <t>The source does not provide sufficient English-language information.</t>
  </si>
  <si>
    <t>T_IC1</t>
  </si>
  <si>
    <t>T_IC2</t>
  </si>
  <si>
    <t>T_IC3</t>
  </si>
  <si>
    <t>T_IC4</t>
  </si>
  <si>
    <t>T_IC5</t>
  </si>
  <si>
    <t>T_IC6</t>
  </si>
  <si>
    <t>T_EC1</t>
  </si>
  <si>
    <t>T_EC2</t>
  </si>
  <si>
    <t>T_EC3</t>
  </si>
  <si>
    <t>T_EC4</t>
  </si>
  <si>
    <t>T_EC5</t>
  </si>
  <si>
    <t>T_EC6</t>
  </si>
  <si>
    <t>T_EC7</t>
  </si>
  <si>
    <t>T_EC8</t>
  </si>
  <si>
    <t>T_EC9</t>
  </si>
  <si>
    <t>T_EC10</t>
  </si>
  <si>
    <t>The course duration is less than  or equal to 30 min.</t>
  </si>
  <si>
    <t>Publication type</t>
  </si>
  <si>
    <t>Language</t>
  </si>
  <si>
    <t>Publication period</t>
  </si>
  <si>
    <t>Language Literature published in English.</t>
  </si>
  <si>
    <t>Publication type Studies published in peer-reviewed journals or reputable conference proceedings.</t>
  </si>
  <si>
    <t>Publication period Studies published between January 2020 and February 2026.</t>
  </si>
  <si>
    <t>R_IC1</t>
  </si>
  <si>
    <t>R_EC1</t>
  </si>
  <si>
    <t>R_IC2</t>
  </si>
  <si>
    <t>R_IC3</t>
  </si>
  <si>
    <t>R_IC4</t>
  </si>
  <si>
    <t>R_IC5</t>
  </si>
  <si>
    <t>Ineligible publication type</t>
  </si>
  <si>
    <t>Non-peer-reviewed literature, including blog posts, opinion pieces, white papers, and technical reports.</t>
  </si>
  <si>
    <t>Duplicate or redundant publications presenting the same findings.</t>
  </si>
  <si>
    <t>Articles for which the full text was unavailable.</t>
  </si>
  <si>
    <t>Publications not written in English.</t>
  </si>
  <si>
    <t>Full-text unavailability</t>
  </si>
  <si>
    <t>Duplicates</t>
  </si>
  <si>
    <t>R_EC2</t>
  </si>
  <si>
    <t>R_EC3</t>
  </si>
  <si>
    <t>R_EC4</t>
  </si>
  <si>
    <t>R_EC5</t>
  </si>
  <si>
    <t>Relevance to PQC education</t>
  </si>
  <si>
    <t>Research explicitly addressing PQC education or training.</t>
  </si>
  <si>
    <t>Educational content or approach</t>
  </si>
  <si>
    <t>Studies describing educational approaches, methodologies, frameworks, tools, or interventions for teaching or learning PQC.</t>
  </si>
  <si>
    <t>Studies that do not address PQC education or training.</t>
  </si>
  <si>
    <t>Lack of relevance to PQC education</t>
  </si>
  <si>
    <t>What learning approaches are available for PQC education, and to what extent do they target software developers?</t>
  </si>
  <si>
    <t>What PQC knowledge, skills, and practical software-engineering tasks do these approaches address, and to what extent are tasks explicitly aligned with competencies?</t>
  </si>
  <si>
    <t>What pedagogical strategies, interaction mechanisms, and forms of learner support do these approaches provide?</t>
  </si>
  <si>
    <t>How are these approaches assessed and evaluated, and what evidence demonstrates their contribution to secure and transferable PQC implementation and migration capabilities?</t>
  </si>
  <si>
    <t>Research questions</t>
  </si>
  <si>
    <t>PICOC table</t>
  </si>
  <si>
    <t>Derived sample of the keywords</t>
  </si>
  <si>
    <t>Software developers and related technical practitioners, including software engineers, cybersecurity and IT professionals, and computing learners.</t>
  </si>
  <si>
    <t>Educational and training approaches designed to develop PQC knowledge, skills, and practical capabilities.</t>
  </si>
  <si>
    <t>Not required, as the review aims to map educational approaches rather than compare their effectiveness.</t>
  </si>
  <si>
    <t>PQC knowledge, skills, practical software-engineering tasks, task-competency alignment, assessment methods, learner support, and evidence of learning, performance, retention, and transfer.</t>
  </si>
  <si>
    <t>Learning outcomes and practical capabilities</t>
  </si>
  <si>
    <t>PQC education, implementation, and migration in software development, particularly in relation to the adoption of quantum-resistant cryptographic mechanisms.</t>
  </si>
  <si>
    <t>Post-quantum cryptography adoption in software development</t>
  </si>
  <si>
    <t>educat*, train*, learn*, teach*, pedagog*, course*, curriculum*, workshop*, tutorial*, intervention*, simulation*</t>
  </si>
  <si>
    <t>Search string</t>
  </si>
  <si>
    <t>Search counts</t>
  </si>
  <si>
    <t>Venue</t>
  </si>
  <si>
    <t>Initial search</t>
  </si>
  <si>
    <t xml:space="preserve">Potentially related </t>
  </si>
  <si>
    <t>After removing duplicates</t>
  </si>
  <si>
    <t>After applying the inclusion criteria</t>
  </si>
  <si>
    <t>NICCS venue</t>
  </si>
  <si>
    <t>Edx</t>
  </si>
  <si>
    <t>Cousera</t>
  </si>
  <si>
    <t>Udemy</t>
  </si>
  <si>
    <t>Final counts</t>
  </si>
  <si>
    <t xml:space="preserve">After Full paper screening </t>
  </si>
  <si>
    <t>Snow balling</t>
  </si>
  <si>
    <t xml:space="preserve">Class central </t>
  </si>
  <si>
    <t xml:space="preserve">developer*, software engineer*, programmer*, software designer*, coder*, architecture* </t>
  </si>
  <si>
    <t>knowledge, skill*, software engineering task* , implement*, integrat*, test*, debug*, assess*, competenc*, feedback, scaffold*,  learning outcome* , retention, transfer</t>
  </si>
  <si>
    <t xml:space="preserve"> post-quantum cryptograph*, post quantum cryptograph*, PQC, quantum-resistant cryptograph*, quantum resistant cryptograph*, quantum-safe cryptograph*, quantum safe cryptograph*, quantum-secure cryptograph*, quantum secure cryptograph*</t>
  </si>
  <si>
    <t>Phase</t>
  </si>
  <si>
    <r>
      <t xml:space="preserve">Target search </t>
    </r>
    <r>
      <rPr>
        <sz val="11"/>
        <color theme="1"/>
        <rFont val="Calibri"/>
        <family val="2"/>
        <scheme val="minor"/>
      </rPr>
      <t>(targeted searches in selected cybersecurity, software engineering, and human-computer interaction venues such as International Conference on Software Engineering (ICSE) , ACM Transactions on Computer-Human Interaction (TOCHI))</t>
    </r>
  </si>
  <si>
    <t>Removing duplications</t>
  </si>
  <si>
    <r>
      <t xml:space="preserve">Search string </t>
    </r>
    <r>
      <rPr>
        <sz val="11"/>
        <color theme="1"/>
        <rFont val="Calibri"/>
        <family val="2"/>
        <scheme val="minor"/>
      </rPr>
      <t>(ACM Digital Library, IEEE Xplore, and SpringerLink)</t>
    </r>
  </si>
  <si>
    <t>Proceedings of the 57th ACM Technical Symposium on Computer Science Education V.2</t>
  </si>
  <si>
    <t>ACM</t>
  </si>
  <si>
    <t>Steinfeld, Ron and Esgin, Muhammed F. and Jagganath, Nikai and Sakzad, Amin and Rudolph, Carsten and Boorman, James</t>
  </si>
  <si>
    <t>The Fifth Annual Quantum Science and Engineering Education Conference Quantum Science and Engineering Education Conference (QSEEC26)</t>
  </si>
  <si>
    <t>IEEE</t>
  </si>
  <si>
    <t>Ainaz Jamshidi, Khushdeep Kaur, Karen Chen, Aryya Gangopadhyay, Lei Zhang</t>
  </si>
  <si>
    <t>Proceedings of the 2026 ACM Southeast Conference</t>
  </si>
  <si>
    <t xml:space="preserve">Awine, Sunday and Chi, Hongmei </t>
  </si>
  <si>
    <t>Proceedings of the 56th ACM Technical Symposium on Computer Science Education V. 2, SIGCSE TS 2025, Pittsburgh, PA, USA, 26 February 2025 - 1 March 2025</t>
  </si>
  <si>
    <t>Borrelli, Thomas J.; Mishra, Sumita; Polak, Monika; Radziszowski, Stanislaw P.</t>
  </si>
  <si>
    <t>Borrelli, Thomas J. and Mishra, Sumita and Polak, Monika K and Radziszowski, Stanislaw</t>
  </si>
  <si>
    <t>Proceedings of the 55th ACM Technical Symposium on Computer Science Education, SIGCSE 2024, Volume 1, Portland, OR, USA, March 20-23, 2024</t>
  </si>
  <si>
    <t>Borrelli, Thomas J.; Polak, Monika; Radziszowski, Stanislaw P.</t>
  </si>
  <si>
    <t>2026 15th International Conference on Educational and Information Technology (ICEIT)</t>
  </si>
  <si>
    <t>Wai Yie Leong</t>
  </si>
  <si>
    <t>Journal of New Approaches in Educational Research</t>
  </si>
  <si>
    <t>Springer</t>
  </si>
  <si>
    <t xml:space="preserve">Pérez-Ramos, É., Hernández-Goya, C. &amp; Caballero-Gil, P. </t>
  </si>
  <si>
    <t>Provider</t>
  </si>
  <si>
    <t>Discovery source</t>
  </si>
  <si>
    <t>Certified Post-Quantum Cybersecurity Expert (CPQCE)</t>
  </si>
  <si>
    <t>https://www.tonex.com/</t>
  </si>
  <si>
    <t>NICCS</t>
  </si>
  <si>
    <t>Paid</t>
  </si>
  <si>
    <t>Certificate</t>
  </si>
  <si>
    <t>Certified Quantum Cryptography Architect (CQCA)</t>
  </si>
  <si>
    <t>Introduction to Quantum Computing Security for Programmers (IQCSP)</t>
  </si>
  <si>
    <t>Badge</t>
  </si>
  <si>
    <t>Certified Quantum &amp; Post-Quantum Cryptography Professional (QPQCP)</t>
  </si>
  <si>
    <t>Quantum-Resistant Cryptography and Its Defense Applications Training</t>
  </si>
  <si>
    <t>NR</t>
  </si>
  <si>
    <t>Post-Quantum Authentication and Key Infrastructure (PQAKI) Essentials</t>
  </si>
  <si>
    <t>Certified Quantum Cryptography and Security Specialist (CQCSS)</t>
  </si>
  <si>
    <t>Introduction to Post-Quantum Cryptography</t>
  </si>
  <si>
    <t>Quantum Computing — Risks to Encryption and the Implications</t>
  </si>
  <si>
    <t>https://www.udemy.com/</t>
  </si>
  <si>
    <t>Class central</t>
  </si>
  <si>
    <t>Post-Quantum Cryptography Foundations</t>
  </si>
  <si>
    <t>Edureka</t>
  </si>
  <si>
    <t>The Quantum Computing Risk And Security Masterclass 2026</t>
  </si>
  <si>
    <t>University of Maryland, Baltimore County</t>
  </si>
  <si>
    <t>Audit free</t>
  </si>
  <si>
    <t>Post-Quantum Crypto Migration: Inventory, Plan, Execute</t>
  </si>
  <si>
    <t>Post-Quantum Cryptography: Applied PQC &amp; NIST Standards</t>
  </si>
  <si>
    <t>Post-Quantum Cryptography: The NIST Standards Explained</t>
  </si>
  <si>
    <t>Cost (Free / Paid / Audit free / NR)</t>
  </si>
  <si>
    <t>Credential (Certificate / Badge / None / NR)</t>
  </si>
  <si>
    <t>Researh papers</t>
  </si>
  <si>
    <t>paper ID</t>
  </si>
  <si>
    <t>Traing ID</t>
  </si>
  <si>
    <t>Source</t>
  </si>
  <si>
    <t>Year</t>
  </si>
  <si>
    <t>Authors</t>
  </si>
  <si>
    <t>Synthesis</t>
  </si>
  <si>
    <t>Finding</t>
  </si>
  <si>
    <t>Summary finding</t>
  </si>
  <si>
    <t>Gap</t>
  </si>
  <si>
    <t>F1</t>
  </si>
  <si>
    <t>Academic vs professional target populations</t>
  </si>
  <si>
    <t>G1 Developer-population validity</t>
  </si>
  <si>
    <t>F2</t>
  </si>
  <si>
    <t>Uneven practical task coverage</t>
  </si>
  <si>
    <t>G2 Authentic task coverage</t>
  </si>
  <si>
    <t>F3</t>
  </si>
  <si>
    <t>Competencies reported; task alignment NR</t>
  </si>
  <si>
    <t>G3 Task–competency traceability</t>
  </si>
  <si>
    <t>F4</t>
  </si>
  <si>
    <t>Interactive methods; limited reported adaptation</t>
  </si>
  <si>
    <t>G4 Pedagogical/learner support</t>
  </si>
  <si>
    <t>F5</t>
  </si>
  <si>
    <t>Few security-focused practical assessments</t>
  </si>
  <si>
    <t>G5 Security assessment</t>
  </si>
  <si>
    <t>F6</t>
  </si>
  <si>
    <t>Retention and transfer not demonstrated</t>
  </si>
  <si>
    <t>G6 Capability validation</t>
  </si>
  <si>
    <t>Learner and intervention characteristics</t>
  </si>
  <si>
    <t>Learner characteristics</t>
  </si>
  <si>
    <t>Intervention characteristics</t>
  </si>
  <si>
    <t>Learner type</t>
  </si>
  <si>
    <t>Pre-requisites for learning</t>
  </si>
  <si>
    <t>Delivery mode</t>
  </si>
  <si>
    <t>Duration</t>
  </si>
  <si>
    <t>Learning approach / intervention type</t>
  </si>
  <si>
    <t>Tools / platforms for learning</t>
  </si>
  <si>
    <t xml:space="preserve">PQC coverage  </t>
  </si>
  <si>
    <t>Paper ID</t>
  </si>
  <si>
    <t>Study title</t>
  </si>
  <si>
    <t>Developer</t>
  </si>
  <si>
    <t xml:space="preserve">Cybersecurity professional </t>
  </si>
  <si>
    <t xml:space="preserve"> IT professional</t>
  </si>
  <si>
    <t xml:space="preserve"> IT or risk managers </t>
  </si>
  <si>
    <t>Academic staff or  Researcher</t>
  </si>
  <si>
    <t>Student (University / Highschool)</t>
  </si>
  <si>
    <t>General</t>
  </si>
  <si>
    <t>Other</t>
  </si>
  <si>
    <t>Programming / Cryptography / Security / Mathematics / Professional experience / None / NR</t>
  </si>
  <si>
    <t>Online async / Online live / Face-to-face / Hybrid / NR</t>
  </si>
  <si>
    <t>Hours / weeks / NR</t>
  </si>
  <si>
    <t>Course / Module / Workshop / Lab-based  / Game-based / Interactive tool / Multi-component / Other / NR</t>
  </si>
  <si>
    <t>Free-text description / NR</t>
  </si>
  <si>
    <t>Dedicated / Substantial component / NR</t>
  </si>
  <si>
    <t>P1</t>
  </si>
  <si>
    <t>N</t>
  </si>
  <si>
    <t>Y</t>
  </si>
  <si>
    <t xml:space="preserve">Online async </t>
  </si>
  <si>
    <t>Course</t>
  </si>
  <si>
    <t>Customized implementation tool</t>
  </si>
  <si>
    <t>D</t>
  </si>
  <si>
    <t>P2</t>
  </si>
  <si>
    <t>U</t>
  </si>
  <si>
    <t>Face-to-Face</t>
  </si>
  <si>
    <t>1 week</t>
  </si>
  <si>
    <t>Module</t>
  </si>
  <si>
    <t>Security</t>
  </si>
  <si>
    <t>Lab</t>
  </si>
  <si>
    <t>Customized implementation tool :  Adaptive Lattice
Parameter Tool (ALPT)</t>
  </si>
  <si>
    <t>14 weeks</t>
  </si>
  <si>
    <t>SageMath</t>
  </si>
  <si>
    <t>P5</t>
  </si>
  <si>
    <t>U, H</t>
  </si>
  <si>
    <t>P6</t>
  </si>
  <si>
    <t xml:space="preserve">Cryptography </t>
  </si>
  <si>
    <t>P7</t>
  </si>
  <si>
    <t xml:space="preserve">Vocational learners, Working professionals </t>
  </si>
  <si>
    <t>Programming / Security / Mathematic / Physics</t>
  </si>
  <si>
    <t xml:space="preserve">Multi-component </t>
  </si>
  <si>
    <t>IBM Q, Rigetti and IonQ, Open-source libraries for PQC</t>
  </si>
  <si>
    <t>S</t>
  </si>
  <si>
    <t>P8</t>
  </si>
  <si>
    <t>H</t>
  </si>
  <si>
    <t>None</t>
  </si>
  <si>
    <t>1.5 hours</t>
  </si>
  <si>
    <t>Interactive tool</t>
  </si>
  <si>
    <t>GeoGebra</t>
  </si>
  <si>
    <t>Prior knowledge/prerequisites</t>
  </si>
  <si>
    <t>Tools / platforms</t>
  </si>
  <si>
    <t>Sample codes</t>
  </si>
  <si>
    <t>Academic / Researcher</t>
  </si>
  <si>
    <t>2 days</t>
  </si>
  <si>
    <t>IQCP (By i2QC) or equivalent experience; Cryptography</t>
  </si>
  <si>
    <t>Workshop</t>
  </si>
  <si>
    <t>Cryptography; Security</t>
  </si>
  <si>
    <t>Online async</t>
  </si>
  <si>
    <t>2h 15m</t>
  </si>
  <si>
    <t xml:space="preserve">Udemy </t>
  </si>
  <si>
    <t>8h</t>
  </si>
  <si>
    <t>Coursera</t>
  </si>
  <si>
    <t>1h 51m</t>
  </si>
  <si>
    <t>GL_12</t>
  </si>
  <si>
    <t>6 weeks</t>
  </si>
  <si>
    <t>13h 19m</t>
  </si>
  <si>
    <t>Programming</t>
  </si>
  <si>
    <t xml:space="preserve"> 1h 44m</t>
  </si>
  <si>
    <t>Programming; Cryptography; Security; Mathematics</t>
  </si>
  <si>
    <t>10h 21m</t>
  </si>
  <si>
    <t xml:space="preserve">Competency/content coding </t>
  </si>
  <si>
    <t>PQC conceptual competency</t>
  </si>
  <si>
    <t>Explicit specifications for delivered content</t>
  </si>
  <si>
    <t xml:space="preserve">Declared NICE Framework alignment (https://niccs.cisa.gov/training/catalog) </t>
  </si>
  <si>
    <t>NF-COM-006</t>
  </si>
  <si>
    <t xml:space="preserve">Standards/algorithms  </t>
  </si>
  <si>
    <t>Explicit competency specification</t>
  </si>
  <si>
    <t>Explicit task–competency alignment</t>
  </si>
  <si>
    <t xml:space="preserve">NICE knowledge  </t>
  </si>
  <si>
    <t xml:space="preserve">NICE skill </t>
  </si>
  <si>
    <t>State</t>
  </si>
  <si>
    <t>Yes (Describe) / No / NR</t>
  </si>
  <si>
    <t>Algorithm families, ML-KEM, ML-DSA, SLH-DSA, NIST or other standards, hybrid, crypto-agility</t>
  </si>
  <si>
    <t>Explicitly stated / Inferred from described activities / NR</t>
  </si>
  <si>
    <t>Verbatim source evidence</t>
  </si>
  <si>
    <t>Yes / No / NR</t>
  </si>
  <si>
    <t>Evidence</t>
  </si>
  <si>
    <t>Yes / No</t>
  </si>
  <si>
    <t>Quantum Threats &amp; Cryptographic Vulnerabilities, PQC Foundations &amp; Algorithms, PQC Standards &amp; Standardisation, Algorithm Selection &amp; Trade-offs, Risk Assessment &amp; Readiness, Cryptographic Inventory &amp; Discovery, Migration Planning</t>
  </si>
  <si>
    <t>KEM implementation, DS implementation</t>
  </si>
  <si>
    <t>self-conducted organization transition plan</t>
  </si>
  <si>
    <t>NIST, NIST-selected PQ encryption : KEM &amp; Kyber, Falcon, Dilithium, SPHINCS+</t>
  </si>
  <si>
    <t>E</t>
  </si>
  <si>
    <t>Identify quantum-vulnerable systems, assess associated risks, develop a PQC transition plan</t>
  </si>
  <si>
    <t xml:space="preserve"> (LO1) identify quantum vulnerabilities in their systems
and assess associated risks; (LO2) apply NIST PQC standards and de
velop a transition plan to secure their organization against quantum
threats.</t>
  </si>
  <si>
    <t>K0697, K0739, K1359, K1364, K1378, K0859, K0942, K1361, K0635, 0636</t>
  </si>
  <si>
    <t>S0504, S0597, S0658, S0878, S0967, S0970, S0971</t>
  </si>
  <si>
    <t>Quantum Threats &amp; Cryptographic Vulnerabilities, PQC Foundations &amp; Algorithms, PQC Standards &amp; Standardisation, Cryptographic Inventory &amp; Discovery, Migration Planning</t>
  </si>
  <si>
    <t>Migration case study :  identify where DH and RSA appear</t>
  </si>
  <si>
    <t xml:space="preserve"> main NIST-standardized schemes ( CRYSTALS-Kyber for key encapsulation and CRYSTALS Dilithium and SPHINCS+ for digital signatures ),  NSA CNSA 2.0, U.S. federal PQC migration memorandum</t>
  </si>
  <si>
    <t>K0697, K0739, K1364, K0859, K0942, K1378</t>
  </si>
  <si>
    <t>S0504, S0971</t>
  </si>
  <si>
    <t>Quantum Threats &amp; Cryptographic Vulnerabilities, PQC Foundations &amp; Algorithms</t>
  </si>
  <si>
    <t xml:space="preserve"> In Lab 1, students visualize abstract lattice geometry; in Lab 2, they use the ALPT to adjust parameters for particular constraints; and in Lab 3, they simulate attacks to validate their design.</t>
  </si>
  <si>
    <t xml:space="preserve">In Lab 1, students visualize abstract lattice geometry; in Lab 2, they use the ALPT to adjust parameters for particular constraints; and in Lab 3, they simulate attacks to validate their design.  </t>
  </si>
  <si>
    <t>K0697, K0739, K1364, K0942, K1170</t>
  </si>
  <si>
    <t>S0504, S0578, S0967</t>
  </si>
  <si>
    <t>Quantum Threats &amp; Cryptographic Vulnerabilities, PQC Foundations &amp; Algorithms, PQC Standards &amp; Standardisation</t>
  </si>
  <si>
    <t>NIST competition, code, hash, lattice</t>
  </si>
  <si>
    <t>K0697, K0739, K1364, K0942</t>
  </si>
  <si>
    <t>Quantum Threats &amp; Cryptographic Vulnerabilities, PQC Foundations &amp; Algorithms, PQC Standards &amp; Standardisation, Hybrid Cryptography</t>
  </si>
  <si>
    <t>Students will describe &amp; implement PQC algorithms and explain their security</t>
  </si>
  <si>
    <t xml:space="preserve">Students will describe &amp; implement PQC algorithms and explain their security. </t>
  </si>
  <si>
    <t>K0697, K0739, K1364, K1365, K1378, K0942</t>
  </si>
  <si>
    <t>S0597</t>
  </si>
  <si>
    <t>describe and implement some post-quantum encryption algorithms and explain their security</t>
  </si>
  <si>
    <t xml:space="preserve"> describe and implement some post-quantum encryption algorithms and explain their security,</t>
  </si>
  <si>
    <t>K0697, K0739, K0942, K1364</t>
  </si>
  <si>
    <t>Quantum Threats &amp; Cryptographic Vulnerabilities, PQC Foundations &amp; Algorithms, PQC Standards &amp; Standardisation, Algorithm Selection &amp; Trade-offs, Risk Assessment &amp; Readiness</t>
  </si>
  <si>
    <t xml:space="preserve">Implement PQC algorithms (Kyber, Dilithium, SPHINCS+).  </t>
  </si>
  <si>
    <t>Assess cryptographic resilience against quantum threats</t>
  </si>
  <si>
    <t>NIST, code, hash, lattice</t>
  </si>
  <si>
    <t>Implement PQC algorithms (Kyber, Dilithium, SPHINCS+), justify parameter choices based on security considerations</t>
  </si>
  <si>
    <t>Justify parameter choices based on security considerations</t>
  </si>
  <si>
    <t>K0697, K0739, K1364, K1378, K0942, K1361, K1170</t>
  </si>
  <si>
    <t>S0492, S0578, S0597, S0878, S0967</t>
  </si>
  <si>
    <t>PQC Foundations &amp; Algorithms</t>
  </si>
  <si>
    <t>Lattice-based</t>
  </si>
  <si>
    <t>Explore lattice-based mathematical concepts using an interactive learning tool,  Students perform step-by-step vector manipulations, gaining operational familiarity with lattice structures.</t>
  </si>
  <si>
    <t>K0967, K0739, K1364, K0942, K1170</t>
  </si>
  <si>
    <t xml:space="preserve">Risk  assessment / plan </t>
  </si>
  <si>
    <t xml:space="preserve">Transition/migration  </t>
  </si>
  <si>
    <t>Quantum Threats &amp; Cryptographic Vulnerabilities; PQC Foundations &amp; Algorithms; PQC Standards &amp; Standardisation; PQC Risk Assessment &amp; Readiness; PQC Integration &amp; Interoperability; PKI, Authentication &amp; Key Management; Governance, Policy &amp; Compliance</t>
  </si>
  <si>
    <t>Impact analysis of quantum breaches, Developing risk mitigation strategies</t>
  </si>
  <si>
    <t>Assess risks to critical infrastructure, Design secure systems for post-quantum threats.</t>
  </si>
  <si>
    <t>Design secure systems for post-quantum threats.</t>
  </si>
  <si>
    <t>Risk assessment, cryptographic techniques, and secure-system design appear in the learning objectives, but their knowledge/skill dependencies are not specified.</t>
  </si>
  <si>
    <t xml:space="preserve">Artificial Intelligence (AI) Security, Cyber Resiliency, Operating Systems (OS) Security
</t>
  </si>
  <si>
    <t>Cybersecurity Architecture, Defensive Cybersecurity</t>
  </si>
  <si>
    <t>K0697, K0698, K0743, K0942, K1145, K1364</t>
  </si>
  <si>
    <t>S0492, S0504, S0878</t>
  </si>
  <si>
    <t>Quantum Threats &amp; Cryptographic Vulnerabilities; PQC Foundations &amp; Algorithms; PQC Standards &amp; Standardisation; Algorithm Selection &amp; Trade-offs; Hybrid Cryptography; Crypto-Agility; Authentication &amp; Key Management; PQC Risk Assessment &amp; Readiness; PQC Migration Planning; PQC Integration &amp; Interoperability; PQC Architecture &amp; Infrastructure; Governance, Policy &amp; Compliance</t>
  </si>
  <si>
    <t>Risk assessment and gap analysis</t>
  </si>
  <si>
    <t>Design systems using post-quantum cryptographic standards, Manage cryptographic key lifecycle in quantum contexts, Analyze security trade-offs in quantum-safe migration</t>
  </si>
  <si>
    <t>Analyze security trade-offs in quantum-safe migration</t>
  </si>
  <si>
    <t>Architecture design, algorithm application, and migration are specified as learning outcomes without a discrete mapping of supporting competencies to tasks.</t>
  </si>
  <si>
    <t>Artificial Intelligence (AI) Security, Cryptography, Cyber Resiliency</t>
  </si>
  <si>
    <t>Cybersecurity Architecture, Secure Software Development, Technology Research and Development</t>
  </si>
  <si>
    <t>K0697, K0698, K0739, K0743, K0942, K1359, K1360, K1363, K1364, K1365, K1367</t>
  </si>
  <si>
    <t>S0504, S0878</t>
  </si>
  <si>
    <t>Quantum Threats &amp; Cryptographic Vulnerabilities; PQC Foundations &amp; Algorithms; PQC Standards &amp; Standardisation; Hybrid Cryptography; PQC Architecture &amp; Infrastructure; Testing &amp; Security Validation</t>
  </si>
  <si>
    <t>PQC Algorithm Implementation (Kyber, Dilithium, SPHINCS+)</t>
  </si>
  <si>
    <t>NIST, ETSI, IETF, Secure Coding Guidelines</t>
  </si>
  <si>
    <t>Implement and test NIST PQC candidate algorithms</t>
  </si>
  <si>
    <t xml:space="preserve">Algorithm implementation, secure coding, and hybrid frameworks are explicitly covered, but the requisite knowledge and skills for each development task are not individually mapped. </t>
  </si>
  <si>
    <t>Cryptography, Cyber Resiliency, Operating Systems (OS) Security</t>
  </si>
  <si>
    <t>Cybersecurity Architecture, Defensive Cybersecurity, Secure Software Development</t>
  </si>
  <si>
    <t>K0694, K0697, K0743, K0814, K0942, K1364</t>
  </si>
  <si>
    <t>S0492, S0504, S0597</t>
  </si>
  <si>
    <t>Quantum Threats &amp; Cryptographic Vulnerabilities; PQC Foundations &amp; Algorithms; PQC Standards &amp; Standardisation; Algorithm Selection &amp; Trade-offs; Hybrid Cryptography; Crypto-Agility; PQC Risk Assessment &amp; Readiness; Cryptographic Inventory &amp; Discovery; PQC Migration Planning; Governance, Policy &amp; Compliance</t>
  </si>
  <si>
    <t>Risk assessment and prioritization</t>
  </si>
  <si>
    <t>Migration roadmap development</t>
  </si>
  <si>
    <t>Plan migration strategies for post-quantum security adoption</t>
  </si>
  <si>
    <t>Evaluate NIST PQC standardization process and candidate algorithms</t>
  </si>
  <si>
    <t>Cryptographic evaluation and migration planning appear in the objectives and modules, but there is no explicit task–competency matrix or equivalent detailed relationship.</t>
  </si>
  <si>
    <t xml:space="preserve">Cryptography, Cyber Resiliency ,Supply Chain Security
</t>
  </si>
  <si>
    <t>Security Control Assessment, Systems Authorization</t>
  </si>
  <si>
    <t>K0697, K0743, K0781, K0942, K1360, K1364, K1365</t>
  </si>
  <si>
    <t>S0492, S0504, S0878, S0970</t>
  </si>
  <si>
    <t>Quantum Threats &amp; Cryptographic Vulnerabilities; PQC Foundations &amp; Algorithms; PQC Standards &amp; Standardisation; Algorithm Selection &amp; Trade-offs; PQC Risk Assessment &amp; Readiness; PQC Integration &amp; Interoperability; PQC Architecture &amp; Infrastructure; Governance, Policy &amp; Compliance</t>
  </si>
  <si>
    <t>Testing and Certification Processes, Case Studies on Defense Implementation</t>
  </si>
  <si>
    <t>Integrating Quantum-Resistant Protocols</t>
  </si>
  <si>
    <t xml:space="preserve">Algorithm families, emerging standards (NIST) </t>
  </si>
  <si>
    <t>Identify vulnerabilities in traditional encryption due to quantum threats, Integrating Quantum-Resistant Protocols</t>
  </si>
  <si>
    <t>Identify vulnerabilities in traditional encryption due to quantum threats.</t>
  </si>
  <si>
    <t>Integration and testing activities are identified, but their required knowledge and skills are not explicitly connected to each task.</t>
  </si>
  <si>
    <t>Cryptography, Cyber Resiliency</t>
  </si>
  <si>
    <t>Cybersecurity Architecture, Systems Security Management</t>
  </si>
  <si>
    <t>K0697, K0743, K0781, K0942, K1357, K1364</t>
  </si>
  <si>
    <t>Quantum Threats &amp; Cryptographic Vulnerabilities; PQC Foundations &amp; Algorithms; PQC Standards &amp; Standardisation; Hybrid Cryptography; Crypto-Agility; PQC Risk Assessment &amp; Readiness; PQC Migration Planning; PQC Integration &amp; Interoperability; PKI, Authentication &amp; Key Management; Governance, Policy &amp; Compliance</t>
  </si>
  <si>
    <t>Implementation of PQC in digital signatures</t>
  </si>
  <si>
    <t>Integrating PQC in IoT and embedded systems</t>
  </si>
  <si>
    <t>Risk modeling and threat mitigation</t>
  </si>
  <si>
    <t>NIST and ETSI, hybrid modes, crypto agility</t>
  </si>
  <si>
    <t>Design and deploy quantum-safe authentication methods</t>
  </si>
  <si>
    <t>Authentication deployment, PKI integration, and key management are identified; no detailed mapping of prerequisite knowledge or skills to those tasks is documented.</t>
  </si>
  <si>
    <t>Artificial Intelligence (AI) Security, Cyber Resiliency, Supply Chain Security</t>
  </si>
  <si>
    <t>Cybersecurity Architecture, Systems Security Management, Technology Research and Development</t>
  </si>
  <si>
    <t>K0686, K0697, K0698, K0743, K0942, K1239, K1360, K1363, K1364, K1365, K1367</t>
  </si>
  <si>
    <t>S0504, S0878, S0658</t>
  </si>
  <si>
    <t>Quantum Threats &amp; Cryptographic Vulnerabilities; PQC Foundations &amp; Algorithms; PQC Standards &amp; Standardisation; Hybrid Cryptography; PQC Risk Assessment &amp; Readiness; PQC Migration Planning; PQC Integration &amp; Interoperability; Testing &amp; Security Validation; Governance, Policy &amp; Compliance</t>
  </si>
  <si>
    <t>Developing hybrid cryptographic systems</t>
  </si>
  <si>
    <t>Quantum risk modeling</t>
  </si>
  <si>
    <t>Design strategies for quantum-safe infrastructures</t>
  </si>
  <si>
    <t>Assess quantum-related risks and mitigation techniques, Explore post-quantum cryptographic algorithms</t>
  </si>
  <si>
    <t>Risk analysis, cryptographic system development, and migration are covered, but no explicit task-level competency relationships are provided.</t>
  </si>
  <si>
    <t>Cryptography, Cyber Resiliency, Operating Systems (OS) Security, Supply Chain Security</t>
  </si>
  <si>
    <t>Cybersecurity Architecture, Digital Forensics, Technology Research and Development</t>
  </si>
  <si>
    <t>K0697, K0743, K0942, K1357, K1364, K1365</t>
  </si>
  <si>
    <t>Quantum Threats &amp; Cryptographic Vulnerabilities; PQC Foundations &amp; Algorithms; PQC Standards &amp; Standardisation; Algorithm Selection &amp; Trade-offs; PQC Risk Assessment &amp; Readiness; PQC Migration Planning; PQC Integration &amp; Interoperability; Governance, Policy &amp; Compliance</t>
  </si>
  <si>
    <t>Planning a migration to quantum-safe systems</t>
  </si>
  <si>
    <t>Identify vulnerabilities in current cryptographic systems.</t>
  </si>
  <si>
    <t>Develop strategies to secure communications and data.</t>
  </si>
  <si>
    <t>Migration, integration, testing, and cryptographic library development appear in the course outline, without a task-specific knowledge/skill mapping.</t>
  </si>
  <si>
    <t>Cryptography, Cyber Resiliency, DevSecOps</t>
  </si>
  <si>
    <t>Cybersecurity Architecture, Technology Research and Development</t>
  </si>
  <si>
    <t>K0694, K0697, K0743, K0942, K1361, K1364, K1367</t>
  </si>
  <si>
    <t>S0504, S0970, S0971</t>
  </si>
  <si>
    <t>Map asymmetric dependencies, Discover hidden cryptographic assets</t>
  </si>
  <si>
    <t>Implement the IETF standard X25519MLKEM768 hybrid key exchange group within TLS 1.3 pipelines, Deploy FIPS 203</t>
  </si>
  <si>
    <t xml:space="preserve"> Deploy FIPS 203 key encapsulation mechanisms across high-throughput payment API ingress proxies, </t>
  </si>
  <si>
    <t>Targeted Risk Analysis, risk prioritization, annual risk recalibration</t>
  </si>
  <si>
    <t xml:space="preserve"> FIPS 203 (ML-KEM), FIPS 204 (ML-DSA), and FIPS 205 (SLH-DSA) , Hybrid models, cryptoagility, CBOM - CycloneDX </t>
  </si>
  <si>
    <t>Parse distributed codebases using AI engines to identify deprecated padding and hardcoded primitives</t>
  </si>
  <si>
    <t>Execute Targeted Risk Analyses using Mosca's Theorem to mathematically prioritize CDE cryptographic remediation sprints</t>
  </si>
  <si>
    <t>The course describes concrete implementation activities and technologies, but does not separately define the knowledge/skill requirements associated with each activity.</t>
  </si>
  <si>
    <t>K0694, K0697, K0698, K0739, K0743, K0859, K0865, K0942, K1145, K1239, K1359, K1360, K1361, K1363, K1364, K1365, K1366, K1367, K1378</t>
  </si>
  <si>
    <t>S0504, S0878, S0970, S0971</t>
  </si>
  <si>
    <t>Quantum Threats &amp; Cryptographic Vulnerabilities; PQC Foundations &amp; Algorithms; PQC Standards &amp; Standardisation; Algorithm Selection &amp; Trade-offs; Hybrid Cryptography; PQC Risk Assessment &amp; Readiness; PQC Migration Planning; PQC Integration &amp; Interoperability; PKI, Authentication &amp; Key Management</t>
  </si>
  <si>
    <t>Interpreting Design Principles for Quantum-Resilient Cryptographic Systems, Exploring Security Levels and Parameter Selection Strategies in PQC, Transforming Key Exchange Using KEM, Post-Quantum Cryptography Migration and Implementation Strategy</t>
  </si>
  <si>
    <t>Integrating PQC into Secure Communication Protocols, Designing Hybrid Cryptographic Systems, Post-Quantum Cryptography Migration and Implementation Strategy</t>
  </si>
  <si>
    <t>Investigating Risks in Cryptographic Negotiation and Trust Models</t>
  </si>
  <si>
    <t xml:space="preserve"> Transitioning from RSA Security to Post-Quantum Protection, Planning Migration Strategies Toward Quantum-Safe Infrastructure</t>
  </si>
  <si>
    <t>Analyze cryptographic risks and quantum vulnerabilities in enterprise systems.</t>
  </si>
  <si>
    <t>Implement key management and migration strategies for quantum-safe systems.</t>
  </si>
  <si>
    <t>A separate skills list and structured practical project are provided. However, individual listed skills are not explicitly mapped to the project tasks.</t>
  </si>
  <si>
    <t>K0697, K0698, K0739, K0743, K0942, K1145, K1359, K1364, K1365</t>
  </si>
  <si>
    <t>S0492, S0504, S0878, S0967, S0970</t>
  </si>
  <si>
    <t>Quantum Threats &amp; Cryptographic Vulnerabilities; PQC Foundations &amp; Algorithms; PQC Standards &amp; Standardisation; Crypto-Agility; PQC Risk Assessment &amp; Readiness; PQC Migration Planning</t>
  </si>
  <si>
    <t>quantum risk assessment</t>
  </si>
  <si>
    <t>Develop a quantum risk roadmap</t>
  </si>
  <si>
    <t xml:space="preserve"> FIPS 203 (ML-KEM), FIPS 204 (ML-DSA), and FIPS 205 (SLH-DSA)</t>
  </si>
  <si>
    <t>Creating A Quantum Risk Roadmap</t>
  </si>
  <si>
    <t>Mitigating Quantum Threats</t>
  </si>
  <si>
    <t>The course describes PQC concepts, risk assessment, and migration-roadmap development, without specifying which knowledge/skill competencies support each professional task.</t>
  </si>
  <si>
    <t>K0694, K0697, K0743, K0942, K1357, K1364, K1378</t>
  </si>
  <si>
    <t>S0492, S0878, S0970</t>
  </si>
  <si>
    <t>Quantum Threats &amp; Cryptographic Vulnerabilities; PQC Foundations &amp; Algorithms; PQC Standards &amp; Standardisation; PQC Migration Planning</t>
  </si>
  <si>
    <t>Hands-on Cybersecurity Project Example - Kyber</t>
  </si>
  <si>
    <t>Kyber, NIST competion</t>
  </si>
  <si>
    <t>Through experiential and project-based learning, students will gain hands-on experience in evaluating and applying PQC schemes such as Kyber and Dilithium, as well as studying real-world cases of PQC migration</t>
  </si>
  <si>
    <t>Evaluate current NIST-standardized PQC algorithms such as Kyber and Dilithium</t>
  </si>
  <si>
    <t>The provider specifies knowledge outcomes, hands-on PQC programming, and migration case studies, but does not explicitly relate individual implementation or migration tasks to their prerequisite knowledge and skills.</t>
  </si>
  <si>
    <t>K0697, K0739, K0942, K1364, K1378</t>
  </si>
  <si>
    <t>Quantum Threats &amp; Cryptographic Vulnerabilities; PQC Foundations &amp; Algorithms; PQC Standards &amp; Standardisation; Hybrid Cryptography; Crypto-Agility; PQC Risk Assessment &amp; Readiness; Cryptographic Inventory &amp; Discovery; PQC Migration Planning; PQC Integration &amp; Interoperability; PKI, Authentication &amp; Key Management; Governance, Policy &amp; Compliance</t>
  </si>
  <si>
    <t>CBOM, Explicit cryptographic inventory, TLS endpoint scanning</t>
  </si>
  <si>
    <t>Refactoring a Hard-Coded Algorithm , issuing ML-DSA certificates</t>
  </si>
  <si>
    <t>Hybrid TLS on web servers, client-side validation, load balancers/proxies</t>
  </si>
  <si>
    <t>Data-lifetime analysis, exposure/lifetime/effort scoring, ranked migration backlog, High Value Asset prioritisation, risk acceptance</t>
  </si>
  <si>
    <t>Migration plan</t>
  </si>
  <si>
    <t>Find cryptography across code, certificates, protocols, keys and suppliers, and record it in a CycloneDX cryptographic bill of materials</t>
  </si>
  <si>
    <t>Design for crypto-agility and rehearse an algorithm swap</t>
  </si>
  <si>
    <t>Detailed migration activities and relevant knowledge areas are present, but the description does not explicitly define the competency requirements for individual tasks.</t>
  </si>
  <si>
    <t>K0697, K0698, K0743, K0859, K0942, K1203, K1239, K1359, K1360, K1361, K1363, K1364, K1365, K1378</t>
  </si>
  <si>
    <t>S0504, S0878, S0967, S0970, S0971, S0658</t>
  </si>
  <si>
    <t>PQC Foundations &amp; Algorithms; PQC Standards &amp; Standardisation; Algorithm Selection &amp; Trade-offs; Hybrid Cryptography; PQC Migration Planning; PQC Integration &amp; Interoperability; PQC Architecture &amp; Infrastructure; Testing &amp; Security Validation</t>
  </si>
  <si>
    <t>final project requires a 10-asset cryptographic inventory</t>
  </si>
  <si>
    <t>Practical Implementation of ML-KEM with OpenSSL 3.0 and liboqs</t>
  </si>
  <si>
    <t>publish a 90-day migration backlog</t>
  </si>
  <si>
    <t>FIPS 203 (ML-KEM), FIPS 204 (ML-DSA)</t>
  </si>
  <si>
    <t>Build and deploy hybrid TLS 1.3 reverse proxies combining classical ECC with post-quantum key exchange</t>
  </si>
  <si>
    <t>Tools, algorithms, and implementation activities appear together, but tool selection does not constitute a formal or explicit task–knowledge/skill mapping.</t>
  </si>
  <si>
    <t>K0697, K0698, K0739, K0743, K0859, K0942, K1201, K1239, K1357, K1359, K1361, K1364, K1365, K1378</t>
  </si>
  <si>
    <t>S0504, S0878, S0970</t>
  </si>
  <si>
    <t>PQC Foundations &amp; Algorithms; PQC Standards &amp; Standardisation; Algorithm Selection &amp; Trade-offs; Hybrid Cryptography; Crypto-Agility; PQC Migration Planning; PQC Integration &amp; Interoperability; PKI, Authentication &amp; Key Management; Testing &amp; Security Validation; Governance, Policy &amp; Compliance</t>
  </si>
  <si>
    <t>Implement hybrid tls with x2-5519 and ml-kem-768, Implement ML-KEM (CRYSTALS-Kyber) key encapsulation across three parameter sets and evaluate security/performance trade-offs for enterprise deployment per,  Deploy ML-DSA (CRYSTALS-Dilithium) digital signatures, Apply SLH-DSA (SPHINCS+) hash-based signatures using FIPS 205 parameter sets and determine when SLH-DSA is preferred over ML-DSA</t>
  </si>
  <si>
    <t>ML-KEM integrates with TLS 1.3 in hybrid mode</t>
  </si>
  <si>
    <t>Build a PQC migration roadmap</t>
  </si>
  <si>
    <t xml:space="preserve"> FIPS 203 (ML-KEM), FIPS 204 (ML-DSA), and FIPS 205 (SLH-DSA), Hybrid models</t>
  </si>
  <si>
    <t>Design hybrid cryptographic deployments that run classical and post-quantum algorithms in parallel</t>
  </si>
  <si>
    <t>Explain the Module-LWE mathematical foundations of FIPS 203 (ML-KEM) and FIPS 204 (ML-DSA), Build a PQC migration roadmap</t>
  </si>
  <si>
    <t>Algorithm foundations, parameter selection, hybrid deployment, and migration are covered, but the required competencies for specific engineering tasks are not separately defined or mapped.</t>
  </si>
  <si>
    <t>K0694, K0697, K0698, K0739, K0743, K0942, K1170, K1239, K1359, K1360, K1364, K1365, K1367, K1378</t>
  </si>
  <si>
    <t>S0578, S0970, S0658</t>
  </si>
  <si>
    <t>Other reported outcome</t>
  </si>
  <si>
    <t>Empirical evidence</t>
  </si>
  <si>
    <t>Pedagogical strategy</t>
  </si>
  <si>
    <t>Interaction</t>
  </si>
  <si>
    <t>Learner support</t>
  </si>
  <si>
    <t>Adaptive/
personalized support</t>
  </si>
  <si>
    <t>Assessment type (For delivered content)</t>
  </si>
  <si>
    <t xml:space="preserve">Practical performance </t>
  </si>
  <si>
    <t xml:space="preserve">Security criterion </t>
  </si>
  <si>
    <t xml:space="preserve">Pre/post outcome </t>
  </si>
  <si>
    <t xml:space="preserve">Perception/usability of the study </t>
  </si>
  <si>
    <t xml:space="preserve">Delayed Retention </t>
  </si>
  <si>
    <t xml:space="preserve">Transfer </t>
  </si>
  <si>
    <t>Empirical evaluation</t>
  </si>
  <si>
    <t xml:space="preserve">Lecture </t>
  </si>
  <si>
    <t>Demonstration</t>
  </si>
  <si>
    <t xml:space="preserve">Problem-based </t>
  </si>
  <si>
    <t xml:space="preserve"> Project </t>
  </si>
  <si>
    <t xml:space="preserve">Simulation </t>
  </si>
  <si>
    <t xml:space="preserve"> Game </t>
  </si>
  <si>
    <t xml:space="preserve">Video </t>
  </si>
  <si>
    <t>Coding task related to PQC implementation / integration</t>
  </si>
  <si>
    <t>Tool interaction</t>
  </si>
  <si>
    <t xml:space="preserve">Lab </t>
  </si>
  <si>
    <t>Peer interaction</t>
  </si>
  <si>
    <t xml:space="preserve">Discussion </t>
  </si>
  <si>
    <t>Instructor interaction</t>
  </si>
  <si>
    <t xml:space="preserve">Feedback </t>
  </si>
  <si>
    <t xml:space="preserve"> Hints </t>
  </si>
  <si>
    <t xml:space="preserve">Instructor </t>
  </si>
  <si>
    <t>Peer support</t>
  </si>
  <si>
    <t>Referencing resources</t>
  </si>
  <si>
    <t xml:space="preserve">Quiz </t>
  </si>
  <si>
    <t>Exam</t>
  </si>
  <si>
    <t xml:space="preserve">Coding task </t>
  </si>
  <si>
    <t xml:space="preserve">Project </t>
  </si>
  <si>
    <t>Practical lab / exercise</t>
  </si>
  <si>
    <t>Self-paced online</t>
  </si>
  <si>
    <t>Risk assessment</t>
  </si>
  <si>
    <t>Student-led seminar</t>
  </si>
  <si>
    <t>Kahoot quiz, student-led seminars</t>
  </si>
  <si>
    <t>Kahoot based assessment - immediate feedback</t>
  </si>
  <si>
    <t>Active learning</t>
  </si>
  <si>
    <t>Immediate feedback on cryptographic hardness</t>
  </si>
  <si>
    <t>NR (Planned only)</t>
  </si>
  <si>
    <t>Student-led presentations</t>
  </si>
  <si>
    <t>Y (Homeworks based on problem-sets)</t>
  </si>
  <si>
    <t>Homework, presentation / paper</t>
  </si>
  <si>
    <t xml:space="preserve"> inquiry based pedagogy</t>
  </si>
  <si>
    <t>Cloud execution</t>
  </si>
  <si>
    <t>Scaffolding</t>
  </si>
  <si>
    <t xml:space="preserve">NR (Stated as concucted, not reported) </t>
  </si>
  <si>
    <t>NR (Retention Scores at 4-Week Follow-Up reported, yet the delaying is not clearly reported)</t>
  </si>
  <si>
    <t>Immediate visual feedback</t>
  </si>
  <si>
    <t>Assignments</t>
  </si>
  <si>
    <t>Y (Scenario based coding exercise S0597)</t>
  </si>
  <si>
    <t>Y (Excell workbook)</t>
  </si>
  <si>
    <t>Y (CBOMkit)</t>
  </si>
  <si>
    <t xml:space="preserve">creating an organization software/applications (denoted ‘apps’ from herein) inventory for their place of work in order to conduct an overall risk assessment. </t>
  </si>
  <si>
    <t xml:space="preserve"> describe and implement some post-quantum encryption algorithms and explain their security</t>
  </si>
  <si>
    <t>NR : Algorithm families, Quantum safe regulatoray standards, Evolution of cryptographic standards</t>
  </si>
  <si>
    <t xml:space="preserve">Algorithm families, hybrid models, crypto agility, NIST standardlizarion </t>
  </si>
  <si>
    <t>Industry-specific regulations, Cryptographic agility, Algorithm families, NIST PQC standardization updates</t>
  </si>
  <si>
    <t>Algorithm families, hybrid models, NIST PQC standardization process</t>
  </si>
  <si>
    <t>NR: Algorithm families, Evolution of post-quantum cryptographic standards</t>
  </si>
  <si>
    <t>Algorithm families, hybrid models, crypto agility, NIST PQC Standardization Process</t>
  </si>
  <si>
    <t>Source characterisitics</t>
  </si>
  <si>
    <t>Characteristic</t>
  </si>
  <si>
    <t>Research (n=8)</t>
  </si>
  <si>
    <t>GL (n=15)</t>
  </si>
  <si>
    <t>Research source IDs</t>
  </si>
  <si>
    <t>GL source IDs</t>
  </si>
  <si>
    <t>Student learners</t>
  </si>
  <si>
    <t>P2, P3, P4, P5, P6, P7, P8</t>
  </si>
  <si>
    <t>Cybersecurity professionals</t>
  </si>
  <si>
    <t>GL_1, GL_2, GL_3, GL_4, GL_5, GL_6, GL_7, GL_8, GL_9, GL_10, GL_11, GL_13, GL_14, GL_15</t>
  </si>
  <si>
    <t>IT professionals</t>
  </si>
  <si>
    <t>GL_4, GL_5, GL_6, GL_8, GL_9, GL_10, GL_11, GL_13, GL_14, GL_15</t>
  </si>
  <si>
    <t>Explicitly developer-targeted</t>
  </si>
  <si>
    <t>GL_3, GL_8, GL_9, GL_14, GL_15</t>
  </si>
  <si>
    <t>Course based</t>
  </si>
  <si>
    <t>P1, P4, P5, P6</t>
  </si>
  <si>
    <t>GL_1, GL_2, GL_3, GL_4, GL_5, GL_6, GL_7, GL_9, GL_10, GL_11, GL_12, GL_13, GL_14, GL_15</t>
  </si>
  <si>
    <t>Empirical evaluation reported</t>
  </si>
  <si>
    <t>P1, P2, P3, P6, P7, P8</t>
  </si>
  <si>
    <t>P_ID</t>
  </si>
  <si>
    <t>Count</t>
  </si>
  <si>
    <t>GL_ID</t>
  </si>
  <si>
    <t>Quantum Threats &amp; Cryptographic Vulnerabilities</t>
  </si>
  <si>
    <t>P1–P7</t>
  </si>
  <si>
    <t>GL_1–GL_13</t>
  </si>
  <si>
    <t>P1–P8</t>
  </si>
  <si>
    <t>GL_1–GL_15</t>
  </si>
  <si>
    <t>PQC Standards &amp; Standardisation</t>
  </si>
  <si>
    <t>P1, P2, P4–P7</t>
  </si>
  <si>
    <t>Algorithm Selection &amp; Trade-offs</t>
  </si>
  <si>
    <t>P1, P7</t>
  </si>
  <si>
    <t>GL_2, GL_4, GL_5, GL_8, GL_9, GL_10, GL_14, GL_15</t>
  </si>
  <si>
    <t>Hybrid Cryptography</t>
  </si>
  <si>
    <t>GL_2, GL_3, GL_4, GL_6, GL_7, GL_9, GL_10, GL_13, GL_14, GL_15</t>
  </si>
  <si>
    <t>Crypto-Agility</t>
  </si>
  <si>
    <t>GL_2, GL_4, GL_6, GL_9, GL_11, GL_13, GL_15</t>
  </si>
  <si>
    <t>PQC Risk Assessment &amp; Readiness</t>
  </si>
  <si>
    <t>GL_1, GL_2, GL_4, GL_5, GL_6, GL_7, GL_8, GL_9, GL_10, GL_11, GL_13</t>
  </si>
  <si>
    <t>PQC Migration Planning</t>
  </si>
  <si>
    <t>GL_2, GL_4, GL_6–GL_15</t>
  </si>
  <si>
    <t>PKI, Authentication &amp; Key Management</t>
  </si>
  <si>
    <t>GL_1, GL_2, GL_6, GL_10, GL_13, GL_15</t>
  </si>
  <si>
    <t>Testing &amp; Security Validation</t>
  </si>
  <si>
    <t>GL_3, GL_7, GL_14, GL_15</t>
  </si>
  <si>
    <t>Task data</t>
  </si>
  <si>
    <t>Category</t>
  </si>
  <si>
    <t>Research count</t>
  </si>
  <si>
    <t>GL count</t>
  </si>
  <si>
    <t>Research %</t>
  </si>
  <si>
    <t>GL %</t>
  </si>
  <si>
    <t>Research IDs</t>
  </si>
  <si>
    <t>GL IDs</t>
  </si>
  <si>
    <t>Implementation</t>
  </si>
  <si>
    <t>P1, P5, P6, P7</t>
  </si>
  <si>
    <t>Application integration</t>
  </si>
  <si>
    <t>Migration planning</t>
  </si>
  <si>
    <t>GL_4, GL_8, GL_10, GL_11, GL_13, GL_14, GL_15</t>
  </si>
  <si>
    <t>All NR</t>
  </si>
  <si>
    <t>Task , pedagogy, support, evaluation</t>
  </si>
  <si>
    <t>Indicator</t>
  </si>
  <si>
    <t>Competency</t>
  </si>
  <si>
    <t>P1, P3, P5, P6, P7</t>
  </si>
  <si>
    <t>GL_1, GL_2, GL_3, GL_4, GL_5, GL_6, GL_7, GL_8, GL_9, GL_10, GL_11, GL_12, GL_13, GL_14, GL_15</t>
  </si>
  <si>
    <t>Pedagogy</t>
  </si>
  <si>
    <t>Lecture-based component</t>
  </si>
  <si>
    <t>GL_1, GL_2, GL_4, GL_7, GL_9, GL_10, GL_11, GL_13, GL_14, GL_15</t>
  </si>
  <si>
    <t>Problem-based pedagogy</t>
  </si>
  <si>
    <t>Project-based pedagogy</t>
  </si>
  <si>
    <t>GL_1, GL_2, GL_4, GL_10, GL_12, GL_13, GL_14</t>
  </si>
  <si>
    <t>P1, P3, P4, P6, P7, P8</t>
  </si>
  <si>
    <t>GL_11, GL_13</t>
  </si>
  <si>
    <t>Support</t>
  </si>
  <si>
    <t>Explicit feedback</t>
  </si>
  <si>
    <t>P2, P3, P8</t>
  </si>
  <si>
    <t>Adaptive/personalised support</t>
  </si>
  <si>
    <t>Evaluation</t>
  </si>
  <si>
    <t>Pre/post outcome reported</t>
  </si>
  <si>
    <t>P1, P3, P7, P8</t>
  </si>
  <si>
    <t>Simulation</t>
  </si>
  <si>
    <t>Instructor</t>
  </si>
  <si>
    <t xml:space="preserve">PQC related coding task </t>
  </si>
  <si>
    <t>P3, P7, P8</t>
  </si>
  <si>
    <t>P1, P2, P6,P7</t>
  </si>
  <si>
    <t>T3, T12, T13</t>
  </si>
  <si>
    <t>Resources</t>
  </si>
  <si>
    <t>T1, T2, T4, T7, T9, T10, T11, T12, T13, T14, T15</t>
  </si>
  <si>
    <t>P1, P6</t>
  </si>
  <si>
    <t>Perceptio / usablity</t>
  </si>
  <si>
    <t>P1, P2, P6</t>
  </si>
  <si>
    <t>Transfer</t>
  </si>
  <si>
    <t>Retention</t>
  </si>
  <si>
    <t>Quiz</t>
  </si>
  <si>
    <t>Coding</t>
  </si>
  <si>
    <t>Assessment</t>
  </si>
  <si>
    <t>Assessment criteria</t>
  </si>
  <si>
    <t>Practical</t>
  </si>
  <si>
    <t>Project</t>
  </si>
  <si>
    <t>Practical exercise</t>
  </si>
  <si>
    <t>P1, P3, P7</t>
  </si>
  <si>
    <t>P3, P7</t>
  </si>
  <si>
    <t>P1, 2</t>
  </si>
  <si>
    <t>T1, 2, 4, 7,9,11</t>
  </si>
  <si>
    <t>T1, 2, 4, 14</t>
  </si>
  <si>
    <t>PQC Concepts</t>
  </si>
  <si>
    <t>Concept</t>
  </si>
  <si>
    <t>Results summary</t>
  </si>
  <si>
    <t>Aggregated, supporting source-level evidence used to report findings for each research question and findings</t>
  </si>
  <si>
    <t>Calculation of initial inter-coder percentage agreement for the RQ2 content categories, before discussion and consensus resolution</t>
  </si>
  <si>
    <t>Source-level coding results, including extracted textual evidence and justifications</t>
  </si>
  <si>
    <t>Coding categories, operational definitions, decision rules</t>
  </si>
  <si>
    <t>Quality assessment criteria and individual source-level scores</t>
  </si>
  <si>
    <t>Inclusion and exclusion criteria applied to research papers and training offerings during source selection</t>
  </si>
  <si>
    <t>Bibliographic details and descriptive information for all included sources, including source type, title, authors, publication year, venue, and URL</t>
  </si>
  <si>
    <t>PICOC elements, database-specific search strings, and the number of records retrieved, screened, and included</t>
  </si>
  <si>
    <t>GL_3, GL_5, GL_6, GL_7, GL_9, GL_10, GL_12, GL_13, GL_14, GL_15</t>
  </si>
  <si>
    <t>GL_5, GL_6, GL_9, GL_10, GL_13,GL_15</t>
  </si>
  <si>
    <t>GL_9, GL_13, GL_14</t>
  </si>
  <si>
    <t>GL_1, GL_2, GL_4, GL_6, GL_7, GL_9, GL_10, GL_11, GL_13</t>
  </si>
  <si>
    <t>Applied / Practical PQC competency:  What practical capability the intervention seeks to develop</t>
  </si>
  <si>
    <t>Tasks</t>
  </si>
  <si>
    <t>Variable</t>
  </si>
  <si>
    <t>Coding / Allowed values</t>
  </si>
  <si>
    <t>Coding rule</t>
  </si>
  <si>
    <t>Source ID</t>
  </si>
  <si>
    <t>Unique identifier assigned to each paper</t>
  </si>
  <si>
    <t>Assign one unique ID: R1, R2</t>
  </si>
  <si>
    <t>Grey lit ID</t>
  </si>
  <si>
    <t>Unique identifier assigned to each grey lit source</t>
  </si>
  <si>
    <t>Assign one unique ID: T1, T2</t>
  </si>
  <si>
    <t>Official title of the paper, course, training programme, workshop, or learning resource.</t>
  </si>
  <si>
    <t>Free text</t>
  </si>
  <si>
    <t>Record the title exactly as reported by the source. Do not shorten.</t>
  </si>
  <si>
    <t>Sub-variable / Code</t>
  </si>
  <si>
    <t>Operational definition</t>
  </si>
  <si>
    <t>Target learners</t>
  </si>
  <si>
    <t>Highschool or undergraduate students</t>
  </si>
  <si>
    <r>
      <rPr>
        <b/>
        <sz val="10"/>
        <color theme="1"/>
        <rFont val="Arial Narrow"/>
        <family val="2"/>
      </rPr>
      <t xml:space="preserve">U= </t>
    </r>
    <r>
      <rPr>
        <sz val="10"/>
        <color theme="1"/>
        <rFont val="Arial Narrow"/>
        <family val="2"/>
      </rPr>
      <t xml:space="preserve">University students
</t>
    </r>
    <r>
      <rPr>
        <b/>
        <sz val="10"/>
        <color theme="1"/>
        <rFont val="Arial Narrow"/>
        <family val="2"/>
      </rPr>
      <t xml:space="preserve">H= </t>
    </r>
    <r>
      <rPr>
        <sz val="10"/>
        <color theme="1"/>
        <rFont val="Arial Narrow"/>
        <family val="2"/>
      </rPr>
      <t xml:space="preserve">Highschool students
</t>
    </r>
    <r>
      <rPr>
        <b/>
        <sz val="10"/>
        <color theme="1"/>
        <rFont val="Arial Narrow"/>
        <family val="2"/>
      </rPr>
      <t xml:space="preserve">N= </t>
    </r>
    <r>
      <rPr>
        <sz val="10"/>
        <color theme="1"/>
        <rFont val="Arial Narrow"/>
        <family val="2"/>
      </rPr>
      <t xml:space="preserve">Not explicitly represented in the documented target population.
</t>
    </r>
    <r>
      <rPr>
        <b/>
        <sz val="10"/>
        <color theme="1"/>
        <rFont val="Arial Narrow"/>
        <family val="2"/>
      </rPr>
      <t>NR=</t>
    </r>
    <r>
      <rPr>
        <sz val="10"/>
        <color theme="1"/>
        <rFont val="Arial Narrow"/>
        <family val="2"/>
      </rPr>
      <t xml:space="preserve"> Target learner information is unavailable or insufficient for classification.</t>
    </r>
  </si>
  <si>
    <t>Software developers, software engineers, programmers, application developers, or closely related software-development roles.</t>
  </si>
  <si>
    <r>
      <rPr>
        <b/>
        <sz val="10"/>
        <color theme="1"/>
        <rFont val="Arial Narrow"/>
        <family val="2"/>
      </rPr>
      <t xml:space="preserve">Y= </t>
    </r>
    <r>
      <rPr>
        <sz val="10"/>
        <color theme="1"/>
        <rFont val="Arial Narrow"/>
        <family val="2"/>
      </rPr>
      <t xml:space="preserve">Explicitly represented.
</t>
    </r>
    <r>
      <rPr>
        <b/>
        <sz val="10"/>
        <color theme="1"/>
        <rFont val="Arial Narrow"/>
        <family val="2"/>
      </rPr>
      <t xml:space="preserve">N= </t>
    </r>
    <r>
      <rPr>
        <sz val="10"/>
        <color theme="1"/>
        <rFont val="Arial Narrow"/>
        <family val="2"/>
      </rPr>
      <t xml:space="preserve">Not explicitly represented in the documented target population.
</t>
    </r>
    <r>
      <rPr>
        <b/>
        <sz val="10"/>
        <color theme="1"/>
        <rFont val="Arial Narrow"/>
        <family val="2"/>
      </rPr>
      <t>NR=</t>
    </r>
    <r>
      <rPr>
        <sz val="10"/>
        <color theme="1"/>
        <rFont val="Arial Narrow"/>
        <family val="2"/>
      </rPr>
      <t xml:space="preserve"> Target learner information is unavailable or insufficient for classification.</t>
    </r>
  </si>
  <si>
    <t>General IT and technical roles including network professionals, infrastructure engineers, system administrators, network administrators, systems engineers, and other non-development IT roles.</t>
  </si>
  <si>
    <t>Security-focused roles including cybersecurity professionals, information-security professionals, security analysts, security architects, cryptographers, cryptographic specialists, threat analysts, or comparable security roles.</t>
  </si>
  <si>
    <r>
      <rPr>
        <b/>
        <sz val="10"/>
        <color theme="1"/>
        <rFont val="Arial Narrow"/>
        <family val="2"/>
      </rPr>
      <t xml:space="preserve">Y= </t>
    </r>
    <r>
      <rPr>
        <sz val="10"/>
        <color theme="1"/>
        <rFont val="Arial Narrow"/>
        <family val="2"/>
      </rPr>
      <t xml:space="preserve">Explicitly represented.
</t>
    </r>
    <r>
      <rPr>
        <b/>
        <sz val="10"/>
        <color theme="1"/>
        <rFont val="Arial Narrow"/>
        <family val="2"/>
      </rPr>
      <t xml:space="preserve">N= </t>
    </r>
    <r>
      <rPr>
        <sz val="10"/>
        <color theme="1"/>
        <rFont val="Arial Narrow"/>
        <family val="2"/>
      </rPr>
      <t xml:space="preserve">Not explicitly represented in the documented target population.
</t>
    </r>
    <r>
      <rPr>
        <b/>
        <sz val="10"/>
        <color theme="1"/>
        <rFont val="Arial Narrow"/>
        <family val="2"/>
      </rPr>
      <t>NR=</t>
    </r>
    <r>
      <rPr>
        <sz val="10"/>
        <color theme="1"/>
        <rFont val="Arial Narrow"/>
        <family val="2"/>
      </rPr>
      <t xml:space="preserve"> Target learner information is unavailable or insufficient for classification.
Security-specific roles should primarily be coded under Cybersecurity professional unless the source also explicitly identifies general IT responsibilities.</t>
    </r>
  </si>
  <si>
    <t>IT managers, IT directors, risk managers, information-security managers, and other explicitly identified professionals responsible for IT governance, technology management, or risk oversight.</t>
  </si>
  <si>
    <t>University lecturers, faculty members, educators, academic researchers, and other explicitly identified research or higher-education personnel.</t>
  </si>
  <si>
    <t>A broad or non-specialist audience, such as the general public, interested learners, or individuals without a specified professional or academic role.</t>
  </si>
  <si>
    <t>An explicitly identified target group that does not fit any of the preceding categories, such as policymakers, legal professionals, or procurement specialists.</t>
  </si>
  <si>
    <t>Prior programming, coding, software-development, or programming-language knowledge is required, expected, or recommended.</t>
  </si>
  <si>
    <t xml:space="preserve">Record when explicitly stated. </t>
  </si>
  <si>
    <t>Cryptography</t>
  </si>
  <si>
    <t>Prior knowledge of cryptography, cryptographic concepts, algorithms, protocols, or related foundations is required or recommended.</t>
  </si>
  <si>
    <t>Code only when explicitly stated.</t>
  </si>
  <si>
    <t>Prior cybersecurity, information-security, network-security, or related security knowledge/experience is required or recommended.</t>
  </si>
  <si>
    <t>Mathematics</t>
  </si>
  <si>
    <t>Prior mathematical knowledge, such as algebra, number theory, probability, discrete mathematics, or equivalent foundations, is required or recommended.</t>
  </si>
  <si>
    <t>Prior course / certification / equivalent experience</t>
  </si>
  <si>
    <t>Completion of a named prior course, certification, qualification, or equivalent professional/practical experience is required or recommended.</t>
  </si>
  <si>
    <t>Code only when the source explicitly states a prior course/certification or equivalent experience requirement. Record the exact prerequisite.</t>
  </si>
  <si>
    <t>The source explicitly states that no prior knowledge, experience, or prerequisites are required.</t>
  </si>
  <si>
    <t>Use only when absence of prerequisites is explicitly stated, e.g., “No prerequisites required.”</t>
  </si>
  <si>
    <t>The source does not report sufficient information about prerequisite knowledge.</t>
  </si>
  <si>
    <r>
      <t xml:space="preserve">Use when prerequisites are absent from the source. Do not interpret missing information as </t>
    </r>
    <r>
      <rPr>
        <sz val="10"/>
        <color theme="1"/>
        <rFont val="Arial Narrow"/>
        <family val="2"/>
      </rPr>
      <t>None</t>
    </r>
    <r>
      <rPr>
        <sz val="11"/>
        <color theme="1"/>
        <rFont val="Arial Narrow"/>
        <family val="2"/>
      </rPr>
      <t>.</t>
    </r>
  </si>
  <si>
    <t xml:space="preserve">Online async = self-paced/on-demand. </t>
  </si>
  <si>
    <t xml:space="preserve">Code only when explicitly supported. </t>
  </si>
  <si>
    <t>Online live</t>
  </si>
  <si>
    <t xml:space="preserve">Online live = scheduled real-time virtual instruction. </t>
  </si>
  <si>
    <t>Code when learners are expected to attend scheduled synchronous online sessions, webinars, or virtual classes.</t>
  </si>
  <si>
    <t xml:space="preserve">Face-to-face </t>
  </si>
  <si>
    <t xml:space="preserve">Face-to-face = physical classroom/on-site delivery. </t>
  </si>
  <si>
    <t>Code when instruction is delivered in person at a physical location. Do not infer face-to-face delivery from an event listing alone.</t>
  </si>
  <si>
    <t>Hybrid</t>
  </si>
  <si>
    <t xml:space="preserve">Hybrid = one integrated offering combines online and in-person learning. </t>
  </si>
  <si>
    <t>Code when the same offering intentionally combines online and in-person delivery. Do not code hybrid solely because optional resources are available online.</t>
  </si>
  <si>
    <t>NR = not reported or cannot be established.</t>
  </si>
  <si>
    <t>Use when the source does not provide enough information to classify the delivery mode.</t>
  </si>
  <si>
    <t>Numeric value + unit, e.g., 8 hours, 2 days, 6 weeks; or NR</t>
  </si>
  <si>
    <t>Reported length of the learning intervention.</t>
  </si>
  <si>
    <r>
      <t xml:space="preserve">Record the duration as reported. Preserve the original unit where possible.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if no duration is stated.</t>
    </r>
  </si>
  <si>
    <t>A structured learning offering consisting of organised instruction or learning units, typically with a defined subject, syllabus, or sequence.</t>
  </si>
  <si>
    <t>Code when the intervention is explicitly described as a course or has a coherent course structure. Use the more specific type only when that type is the principal intervention.</t>
  </si>
  <si>
    <t>A self-contained educational unit intended to form part of a broader programme, curriculum, or course.</t>
  </si>
  <si>
    <t>Code when the intervention itself is presented as a module rather than a complete course.</t>
  </si>
  <si>
    <t>A short, focused learning intervention explicitly presented as a workshop, typically involving intensive or practical learning activities.</t>
  </si>
  <si>
    <t>Code when the provider explicitly identifies the intervention as a workshop or when workshop format clearly constitutes the primary intervention.</t>
  </si>
  <si>
    <t>A learning intervention primarily organised around hands-on laboratory activities, experiments, implementation exercises, or practical technical work.</t>
  </si>
  <si>
    <t>Code only when the lab constitutes the principal intervention, not simply when a course contains laboratory exercises.</t>
  </si>
  <si>
    <t>Game-based</t>
  </si>
  <si>
    <t>An intervention where gameplay or explicit game mechanics constitute the principal learning approach.</t>
  </si>
  <si>
    <t>Code when learning is substantially structured around game-based activities or mechanics. Simple quizzes, points, or isolated gamified elements alone should not automatically qualify.</t>
  </si>
  <si>
    <t>A software, web-based, simulation, visualisation, or interactive learning environment that constitutes the principal educational intervention.</t>
  </si>
  <si>
    <t>Code when the learner primarily interacts with a tool rather than participating in a conventional course.</t>
  </si>
  <si>
    <t>Multi-component</t>
  </si>
  <si>
    <t>An intervention intentionally combining multiple distinct educational interventions, such as a formal course plus a separate laboratory environment, interactive tool, or game.</t>
  </si>
  <si>
    <t>Use only when the components are distinct learning interventions. Do not use merely because a course contains lectures, exercises, discussions, quizzes, assignments, or projects.</t>
  </si>
  <si>
    <t>Use only when the intervention is identifiable but none of the listed categories fits. Record the source wording or a concise description.</t>
  </si>
  <si>
    <t>The intervention type cannot be determined from the available source information.</t>
  </si>
  <si>
    <t>Use when the source does not provide sufficient information to classify the intervention type. Do not use when the intervention is clearly described but unusual.</t>
  </si>
  <si>
    <t>Tools/platforms</t>
  </si>
  <si>
    <t>Name of software, cryptographic library, platform, learning management system, simulator, or other technical/hosting tool reported as used.</t>
  </si>
  <si>
    <t>Tools or platforms used in the intervention or used to host. (This is not about the interaction)</t>
  </si>
  <si>
    <t>PQC coverage</t>
  </si>
  <si>
    <r>
      <t>Dedicated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Substantial component</t>
    </r>
  </si>
  <si>
    <t>Extent to which PQC constitutes the focus of the learning intervention.</t>
  </si>
  <si>
    <r>
      <t>Dedicated</t>
    </r>
    <r>
      <rPr>
        <sz val="11"/>
        <color theme="1"/>
        <rFont val="Arial Narrow"/>
        <family val="2"/>
      </rPr>
      <t xml:space="preserve"> = PQC/post-quantum security is the primary subject of the intervention. 
</t>
    </r>
    <r>
      <rPr>
        <b/>
        <sz val="11"/>
        <color theme="1"/>
        <rFont val="Arial Narrow"/>
        <family val="2"/>
      </rPr>
      <t>Substantial component</t>
    </r>
    <r>
      <rPr>
        <sz val="11"/>
        <color theme="1"/>
        <rFont val="Arial Narrow"/>
        <family val="2"/>
      </rPr>
      <t xml:space="preserve"> = PQC forms a clearly identifiable and meaningful component of a broader quantum computing, cybersecurity, cryptography, or related intervention.</t>
    </r>
  </si>
  <si>
    <t>Competency/content coding</t>
  </si>
  <si>
    <t>Code / values</t>
  </si>
  <si>
    <t>Conceptual task</t>
  </si>
  <si>
    <r>
      <rPr>
        <b/>
        <sz val="11"/>
        <color theme="1"/>
        <rFont val="Arial Narrow"/>
        <family val="2"/>
      </rPr>
      <t xml:space="preserve">If yes , state / </t>
    </r>
    <r>
      <rPr>
        <b/>
        <sz val="10"/>
        <color theme="1"/>
        <rFont val="Arial Narrow"/>
        <family val="2"/>
      </rPr>
      <t>No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NR</t>
    </r>
  </si>
  <si>
    <t>Learners engage with conceptual understanding of PQC, quantum threats, cryptographic principles, algorithm families, security properties, or underlying mechanisms.</t>
  </si>
  <si>
    <r>
      <t>Yes</t>
    </r>
    <r>
      <rPr>
        <sz val="11"/>
        <color theme="1"/>
        <rFont val="Arial Narrow"/>
        <family val="2"/>
      </rPr>
      <t xml:space="preserve"> = the source explicitly states that learners explain, compare, distinguish, interpret, understand, or reason about relevant concepts. (State them using codes presented in A64:D79 )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course detail is available and no conceptual learning activity is included.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available information is insufficient to determine whether conceptual tasks are included.</t>
    </r>
  </si>
  <si>
    <t>Learners identify where cryptography is used within software, infrastructure, protocols, libraries, certificates, assets, or dependencies affected by PQC transition.</t>
  </si>
  <si>
    <r>
      <t>Yes</t>
    </r>
    <r>
      <rPr>
        <sz val="11"/>
        <color theme="1"/>
        <rFont val="Arial Narrow"/>
        <family val="2"/>
      </rPr>
      <t xml:space="preserve"> = explicit evidence of cryptographic inventory, discovery, CBOM creation, dependency mapping, identification of vulnerable algorithms, or identification of affected systems.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syllabus detail exists but such identification activities are absent.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insufficient information to determine coverage.</t>
    </r>
  </si>
  <si>
    <t>Learners implement, configure, execute, modify, or program PQC algorithms, libraries, APIs, protocols, or related cryptographic components.</t>
  </si>
  <si>
    <r>
      <t>Yes</t>
    </r>
    <r>
      <rPr>
        <sz val="11"/>
        <color theme="1"/>
        <rFont val="Arial Narrow"/>
        <family val="2"/>
      </rPr>
      <t xml:space="preserve"> = explicit coding, configuration, implementation, key generation, signing, encapsulation/decapsulation, library/API use, or comparable hands-on technical activity.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implementation is not included despite sufficient course detail.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implementation activity cannot be determined from the available description.</t>
    </r>
  </si>
  <si>
    <t>Learners integrate PQC mechanisms into software applications, protocols, infrastructure components, or realistic operational systems.</t>
  </si>
  <si>
    <r>
      <t>Yes</t>
    </r>
    <r>
      <rPr>
        <sz val="11"/>
        <color theme="1"/>
        <rFont val="Arial Narrow"/>
        <family val="2"/>
      </rPr>
      <t xml:space="preserve"> = explicit integration of PQC into applications, TLS, PKI, software systems, libraries, or infrastructure.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information is available and no integration activity is described.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insufficient information to determine whether integration occurs.</t>
    </r>
  </si>
  <si>
    <t>Risk management</t>
  </si>
  <si>
    <t>Learners assess, prioritise, or reason about quantum-related cybersecurity risk and its organisational or system-level consequences.</t>
  </si>
  <si>
    <r>
      <t>Yes</t>
    </r>
    <r>
      <rPr>
        <sz val="11"/>
        <color theme="1"/>
        <rFont val="Arial Narrow"/>
        <family val="2"/>
      </rPr>
      <t xml:space="preserve"> = explicit risk analysis, impact assessment, HNDL assessment, exposure analysis, prioritisation, risk scoring, or migration-risk evaluation.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detailed content is available and risk assessment is absent.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available information does not establish whether risk assessment is addressed.</t>
    </r>
  </si>
  <si>
    <t>Transition / migration planning</t>
  </si>
  <si>
    <t>Learners plan, design, justify, prioritise, or manage the transition from quantum-vulnerable cryptography to PQC or quantum-safe alternatives.</t>
  </si>
  <si>
    <r>
      <t>Yes</t>
    </r>
    <r>
      <rPr>
        <sz val="11"/>
        <color theme="1"/>
        <rFont val="Arial Narrow"/>
        <family val="2"/>
      </rPr>
      <t xml:space="preserve"> = explicit migration roadmap, phased transition, hybrid deployment planning, crypto-agility planning, legacy transition, prioritisation, or interoperability planning.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content detail is available but migration planning is absent.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insufficient information to determine coverage.</t>
    </r>
  </si>
  <si>
    <t>Standards / algorithms</t>
  </si>
  <si>
    <t>Multi-label controlled text</t>
  </si>
  <si>
    <t>Named PQC standards, algorithms, protocols, frameworks, or implementation concepts explicitly reported by the source.</t>
  </si>
  <si>
    <r>
      <t xml:space="preserve">Record only explicitly named items, e.g., </t>
    </r>
    <r>
      <rPr>
        <sz val="10"/>
        <color theme="1"/>
        <rFont val="Arial Narrow"/>
        <family val="2"/>
      </rPr>
      <t>ML-KEM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ML-DSA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SLH-DSA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Kyber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Dilithium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SPHINCS+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FIPS 203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FIPS 204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FIPS 205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Hybrid</t>
    </r>
    <r>
      <rPr>
        <sz val="11"/>
        <color theme="1"/>
        <rFont val="Arial Narrow"/>
        <family val="2"/>
      </rPr>
      <t xml:space="preserve">, </t>
    </r>
    <r>
      <rPr>
        <sz val="10"/>
        <color theme="1"/>
        <rFont val="Arial Narrow"/>
        <family val="2"/>
      </rPr>
      <t>Crypto-agility</t>
    </r>
    <r>
      <rPr>
        <sz val="11"/>
        <color theme="1"/>
        <rFont val="Arial Narrow"/>
        <family val="2"/>
      </rPr>
      <t xml:space="preserve">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if no specific item is identifiable. Do not infer specific algorithms from broad families such as “lattice-based cryptography.”</t>
    </r>
  </si>
  <si>
    <t>The PQC-related task or tasks the intervention explicitly addresses, including conceptual, technical, integration, risk, or migration tasks.</t>
  </si>
  <si>
    <t>Quote or precisely transcribe the source passage supporting the task code.</t>
  </si>
  <si>
    <t>Status</t>
  </si>
  <si>
    <t>Quote or precisely transcribe the source passage supporting the evidence</t>
  </si>
  <si>
    <t>Whether the source explicitly lists or maps content to NICE Framework Competency Areas.</t>
  </si>
  <si>
    <t>If yes , state
No
NR</t>
  </si>
  <si>
    <t>Whether the source explicitly identifies one or more NICE Work Roles.</t>
  </si>
  <si>
    <t>Whether cryptography is explicitly identified as a competency, competency area, or required capability in the source.</t>
  </si>
  <si>
    <r>
      <t xml:space="preserve">Yes= </t>
    </r>
    <r>
      <rPr>
        <sz val="11"/>
        <color theme="1"/>
        <rFont val="Arial Narrow"/>
        <family val="2"/>
      </rPr>
      <t>If available</t>
    </r>
    <r>
      <rPr>
        <b/>
        <sz val="11"/>
        <color theme="1"/>
        <rFont val="Arial Narrow"/>
        <family val="2"/>
      </rPr>
      <t xml:space="preserve">
No= </t>
    </r>
    <r>
      <rPr>
        <sz val="11"/>
        <color theme="1"/>
        <rFont val="Arial Narrow"/>
        <family val="2"/>
      </rPr>
      <t>Not available</t>
    </r>
  </si>
  <si>
    <t>NICE Framework knowledge statements corresponding to the knowledge content explicitly addressed by the intervention.</t>
  </si>
  <si>
    <r>
      <t xml:space="preserve">Assign one or more NICE knowledge IDs only when course content provides sufficient evidence for the mapping.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when the available information is insufficient to support a mapping. </t>
    </r>
  </si>
  <si>
    <t>NICE Framework skill statements corresponding to activities learners are explicitly expected to perform.</t>
  </si>
  <si>
    <r>
      <t xml:space="preserve">Assign NICE skill IDs only when observable learner activity or performance provides evidence for the skill. Do not infer a skill solely from related conceptual coverage.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when evidence is insufficient.</t>
    </r>
  </si>
  <si>
    <t>PQC related conceptual content</t>
  </si>
  <si>
    <t>Concpetual content</t>
  </si>
  <si>
    <t>Included content</t>
  </si>
  <si>
    <t>Shor/Grover threats, HNDL, RSA/ECC weaknesses, quantum risks, vulnerabilities of classical cryptography</t>
  </si>
  <si>
    <t>PQC concepts, algorithm families, lattice/hash/code-based cryptography, ML-KEM, ML-DSA, SLH-DSA, HQC, FN-DSA</t>
  </si>
  <si>
    <t>NIST PQC process, FIPS 203–205/206, ETSI/IETF guidance, standards evolution</t>
  </si>
  <si>
    <t>parameter selection, security levels, performance/scalability, key/signature sizes, algorithm suitability</t>
  </si>
  <si>
    <t>classical + PQC approaches, hybrid TLS, hybrid deployment</t>
  </si>
  <si>
    <t>algorithm replacement, cryptographic flexibility, future-proofing, resilience through replaceable cryptography</t>
  </si>
  <si>
    <t>risk modelling, vulnerability assessment, prioritisation, quantum readiness, preparedness</t>
  </si>
  <si>
    <t>Cryptographic Inventory &amp; Discovery</t>
  </si>
  <si>
    <t>cryptographic inventory, CBOM, dependency discovery, asset identification</t>
  </si>
  <si>
    <t>migration strategies, transition roadmaps, migration priorities, timelines, phased transition</t>
  </si>
  <si>
    <t>PQC Integration &amp; Interoperability</t>
  </si>
  <si>
    <t>integration challenges, legacy systems, protocol integration, backward compatibility, deployment constraints</t>
  </si>
  <si>
    <t>PQC Architecture &amp; Infrastructure</t>
  </si>
  <si>
    <t>quantum-safe system architecture, communication architecture, system design, infrastructure considerations</t>
  </si>
  <si>
    <t>PQC PKI, certificates, authentication, key lifecycle, HSM/key management</t>
  </si>
  <si>
    <t>validation, testing, secure implementation/coding considerations, implementation-security risks, certification, and rollback/test considerations</t>
  </si>
  <si>
    <t>Governance, Policy &amp; Compliance</t>
  </si>
  <si>
    <t>regulations, policies, governance, compliance, audit requirements</t>
  </si>
  <si>
    <t>Pedagogy and Support</t>
  </si>
  <si>
    <t>Lecture, Demonstration, Problem-based, Scenario, Project, Simulation, Game, Other, NR</t>
  </si>
  <si>
    <t>The instructional method used to organise or facilitate learning.</t>
  </si>
  <si>
    <r>
      <t xml:space="preserve">Code only strategies explicitly described by the source. 
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when no pedagogical strategy can be determined.</t>
    </r>
  </si>
  <si>
    <t>Lecture</t>
  </si>
  <si>
    <t>Yes/No/NR</t>
  </si>
  <si>
    <t>Instructor provides structured explanation or presentation of concepts/content.</t>
  </si>
  <si>
    <t>Code when terms such as lecture, presentation, instructional session, or equivalent structured teaching are explicitly stated. 
Do not infer from the existence of course modules.</t>
  </si>
  <si>
    <t>Instructor or system demonstrates a procedure, technique, tool, algorithm, or worked process for learners to observe.</t>
  </si>
  <si>
    <t>Code when the source explicitly describes demonstrations, walkthroughs, live demonstrations, or guided demonstrations.</t>
  </si>
  <si>
    <t>Problem-based</t>
  </si>
  <si>
    <t>Learners acquire or apply knowledge by working on an open or structured problem that requires analysis and solution development.</t>
  </si>
  <si>
    <t>Code when problem-solving or problem-based learning is explicitly described. Routine exercises alone should not automatically be coded as problem-based learning.</t>
  </si>
  <si>
    <t>Learners complete an extended task or artefact integrating multiple concepts or skills.</t>
  </si>
  <si>
    <t>Code when a project, capstone, design project, implementation project, or project-based learning activity is explicitly reported. Short isolated exercises are not projects.</t>
  </si>
  <si>
    <t>Learners use a model or simulated system/environment to practise or explore outcomes.</t>
  </si>
  <si>
    <t>Code when simulation is an instructional strategy explicitly described as part of the learning design. Do not infer simulation from demonstrations or hypothetical scenarios.</t>
  </si>
  <si>
    <t>Game</t>
  </si>
  <si>
    <t>Learning is organised around a game or structured gameplay with learning objectives.</t>
  </si>
  <si>
    <t>Code when a game is explicitly used as an instructional strategy. Isolated points, badges, or quizzes alone do not qualify.</t>
  </si>
  <si>
    <t>State / No / NR</t>
  </si>
  <si>
    <t>No pedagogical strategy can be established from the available source.</t>
  </si>
  <si>
    <t>Use when the source reports content but does not explain how it is taught.</t>
  </si>
  <si>
    <t>Video, Coding task related to PQC implementation / integration, Tool interaction, Lab, Peer interaction, Simulation, Discussion, Instructor interaction, Other, NR</t>
  </si>
  <si>
    <t>Mechanisms through which learners engage with learning materials, tasks, instructors, or the learning environment.</t>
  </si>
  <si>
    <t>Multi-label coding is permitted. Record each explicitly reported interaction mechanism.</t>
  </si>
  <si>
    <t>Video</t>
  </si>
  <si>
    <t>Learners engage with recorded or streamed video-based instructional material.</t>
  </si>
  <si>
    <t>Code only when videos, video lectures, recorded demonstrations, or similar material are explicitly mentioned.</t>
  </si>
  <si>
    <t>Coding task related to PQC implementation</t>
  </si>
  <si>
    <t>Learners write, modify, debug, execute, or otherwise work directly with source code.</t>
  </si>
  <si>
    <t xml:space="preserve">Code explicit programming/coding exercises. </t>
  </si>
  <si>
    <t>Learners actively use a software tool, platform, command-line interface, cryptographic library, visualiser, or other interactive technical resource.</t>
  </si>
  <si>
    <t>Code when learners directly operate or manipulate a tool. Merely mentioning or watching a tool is not tool interaction.</t>
  </si>
  <si>
    <t>Learning occurs through structured hands-on laboratory exercises or practical technical experimentation.</t>
  </si>
  <si>
    <t>Code when learners perform hands-on lab activities. Here, Lab describes a pedagogical strategy within an intervention; it does not mean the overall learning approach must be classified as a Lab.</t>
  </si>
  <si>
    <t>Learners interact with one another to exchange knowledge, collaborate, review work, or solve tasks.</t>
  </si>
  <si>
    <t>Code explicit pair/group work, peer review, discussion forums, collaborative exercises, or other learner-to-learner activity. Do not infer peer interaction from group enrolment.</t>
  </si>
  <si>
    <t>Learners interact with a simulated environment, system, attack, protocol, or technical scenario.</t>
  </si>
  <si>
    <t>Code only where simulation is explicitly reported. Do not treat hypothetical discussion scenarios as simulation.</t>
  </si>
  <si>
    <t>Discussion</t>
  </si>
  <si>
    <t>Learners participate in interactive discussion with instructors or other learners.</t>
  </si>
  <si>
    <t>Code interactive discussions, group discussions, seminars, forums, facilitated discussion, or equivalent activities.</t>
  </si>
  <si>
    <t>Learning involves synchronous or direct facilitation by an instructor, trainer, or expert.</t>
  </si>
  <si>
    <t>Code when the source explicitly states instructor-led, trainer-led, expert-led, live instruction, or equivalent. Do not infer solely because the course has an instructor.</t>
  </si>
  <si>
    <t>An interaction mechanism not represented by the predefined categories; specify it.</t>
  </si>
  <si>
    <t>Use only when a clearly described interaction mechanism does not fit the listed categories. Record the mechanism.</t>
  </si>
  <si>
    <t xml:space="preserve">Yes / No </t>
  </si>
  <si>
    <t>No interaction mechanism can be established from the available information.</t>
  </si>
  <si>
    <t>Use only when none of the defined mechanisms is identifiable.</t>
  </si>
  <si>
    <r>
      <t>Feedback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Hints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Instructor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Peer support</t>
    </r>
    <r>
      <rPr>
        <b/>
        <sz val="11"/>
        <color theme="1"/>
        <rFont val="Arial Narrow"/>
        <family val="2"/>
      </rPr>
      <t xml:space="preserve"> / Referencing resources / Other / </t>
    </r>
    <r>
      <rPr>
        <b/>
        <sz val="10"/>
        <color theme="1"/>
        <rFont val="Arial Narrow"/>
        <family val="2"/>
      </rPr>
      <t>NR</t>
    </r>
  </si>
  <si>
    <t>Assistance provided to help learners understand content, overcome difficulty, correct errors, or progress through learning activities.</t>
  </si>
  <si>
    <t>Multi-label coding is permitted. Code only support explicitly described.</t>
  </si>
  <si>
    <t>Feedback</t>
  </si>
  <si>
    <t>Learners receive information about the correctness, quality, or progress of their work or answers.</t>
  </si>
  <si>
    <t>Code explicit formative/summative feedback, automated feedback, instructor feedback, rubric comments, or feedback on submissions. A score alone is feedback only if the source indicates it communicates performance/correctness.</t>
  </si>
  <si>
    <t>Hints</t>
  </si>
  <si>
    <t>Prompts, clues, scaffolds, or graduated assistance help learners progress through a task.</t>
  </si>
  <si>
    <t>Code when hints, tips, prompts, guided steps, or progressive clues are explicitly available. Do not infer hints from general instructional explanations.</t>
  </si>
  <si>
    <t>Learners can obtain instructional assistance, guidance, clarification, mentoring, or consultation from an instructor.</t>
  </si>
  <si>
    <r>
      <t xml:space="preserve">Code when instructor support, mentoring, office hours, Q&amp;A, expert assistance, or guided support is reported. </t>
    </r>
    <r>
      <rPr>
        <sz val="10"/>
        <color theme="1"/>
        <rFont val="Arial Narrow"/>
        <family val="2"/>
      </rPr>
      <t>Instructor-led</t>
    </r>
    <r>
      <rPr>
        <sz val="11"/>
        <color theme="1"/>
        <rFont val="Arial Narrow"/>
        <family val="2"/>
      </rPr>
      <t xml:space="preserve"> interaction does not automatically mean instructor support; support must be identifiable.</t>
    </r>
  </si>
  <si>
    <t>Learners receive support or collaborate with other learners.</t>
  </si>
  <si>
    <t>Code peer discussion, peer review, group collaboration, community support, team activities, or learner forums where peer assistance occurs.</t>
  </si>
  <si>
    <t>Learners are directed to reference materials or resources that support independent learning or problem solving.</t>
  </si>
  <si>
    <t>Code explicit provision or recommendation of documentation, readings, reference sheets, external resources, examples, or knowledge bases for learner use. General course materials alone do not automatically indicate referencing support.</t>
  </si>
  <si>
    <t>A learner-support mechanism not represented by the predefined categories; specify it.</t>
  </si>
  <si>
    <t>Use only when an identifiable support mechanism does not fit the listed categories. Record the mechanism.</t>
  </si>
  <si>
    <t>No learner-support mechanism is reported or identifiable.</t>
  </si>
  <si>
    <t>Do not interpret missing support information as evidence that support is absent.</t>
  </si>
  <si>
    <t>Adaptive / personalized support</t>
  </si>
  <si>
    <r>
      <t>Yes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No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NR</t>
    </r>
  </si>
  <si>
    <t>Whether instruction, content, task difficulty, feedback, sequencing, or support is adjusted according to individual learner characteristics or performance.</t>
  </si>
  <si>
    <r>
      <t>Yes</t>
    </r>
    <r>
      <rPr>
        <sz val="11"/>
        <color theme="1"/>
        <rFont val="Arial Narrow"/>
        <family val="2"/>
      </rPr>
      <t xml:space="preserve"> = explicit evidence of adaptation/personalisation based on learner knowledge, progress, errors, preferences, assessment results, or performance.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detail establishes that all learners follow the same fixed learning pathway/support.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available information does not indicate whether adaptation/personalisation is provided.</t>
    </r>
  </si>
  <si>
    <t>Assessment and evidence</t>
  </si>
  <si>
    <t>Assessment type</t>
  </si>
  <si>
    <r>
      <t>Quiz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Exam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Coding task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Project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Practical lab</t>
    </r>
    <r>
      <rPr>
        <b/>
        <sz val="11"/>
        <color theme="1"/>
        <rFont val="Arial Narrow"/>
        <family val="2"/>
      </rPr>
      <t xml:space="preserve"> / </t>
    </r>
    <r>
      <rPr>
        <b/>
        <sz val="10"/>
        <color theme="1"/>
        <rFont val="Arial Narrow"/>
        <family val="2"/>
      </rPr>
      <t>NR</t>
    </r>
  </si>
  <si>
    <t>The form through which learner performance or understanding is assessed.</t>
  </si>
  <si>
    <r>
      <t xml:space="preserve">Multi-label coding is allowed. Record all explicitly reported assessment forms. Use </t>
    </r>
    <r>
      <rPr>
        <sz val="10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when the source does not identify the assessment format.</t>
    </r>
  </si>
  <si>
    <t>Short structured questions used to assess or check understanding.</t>
  </si>
  <si>
    <t>Code quizzes, knowledge checks, MCQs, short tests, or similar activities.</t>
  </si>
  <si>
    <t xml:space="preserve">Exam </t>
  </si>
  <si>
    <t>Formal summative examination, often associated with certification or course completion.</t>
  </si>
  <si>
    <t>Code when the source explicitly mentions an exam, final exam, certification examination, or passing score.</t>
  </si>
  <si>
    <t>Coding task</t>
  </si>
  <si>
    <t>Learner performance is assessed through writing, modifying, debugging, or executing code.</t>
  </si>
  <si>
    <t>Code only when coding performance is part of the assessment, not merely a learning activity.</t>
  </si>
  <si>
    <t>Learners complete an extended artefact, design, implementation, migration plan, report, or capstone that is evaluated.</t>
  </si>
  <si>
    <t>Code only when the project contributes to assessment or demonstrated performance.</t>
  </si>
  <si>
    <t>Practical lab</t>
  </si>
  <si>
    <t>Learners complete hands-on technical tasks in a laboratory or practical environment and their performance is assessed.</t>
  </si>
  <si>
    <t>Do not code merely because a course contains labs; there must be evidence that the lab work is assessed.</t>
  </si>
  <si>
    <t>An assessment format not represented by the predefined categories; specify it.</t>
  </si>
  <si>
    <t>Use only when the source explicitly reports an assessment format not covered by quiz, exam, coding task, project, or practical lab.</t>
  </si>
  <si>
    <t>The source does not provide sufficient information to identify the assessment format.</t>
  </si>
  <si>
    <t>Use when assessment format is not reported or cannot be established. Do not use No to indicate that no assessment exists; code assessment existence separately if applicable.</t>
  </si>
  <si>
    <t>Assessment criteria examined (What assessment criterias they proposed / used)</t>
  </si>
  <si>
    <t>Whether assessment measures the learner's ability to perform a practical PQC-related task rather than only recall or conceptual knowledge.</t>
  </si>
  <si>
    <r>
      <t>Yes</t>
    </r>
    <r>
      <rPr>
        <sz val="11"/>
        <color theme="1"/>
        <rFont val="Arial Narrow"/>
        <family val="2"/>
      </rPr>
      <t xml:space="preserve"> = learners are assessed on coding, implementation, integration, migration, configuration, analysis, or another observable practical task.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assessment detail shows only knowledge-based testing, e.g., MCQ exam.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assessment exists but it is unclear whether practical performance is evaluated.</t>
    </r>
  </si>
  <si>
    <t>Whether practical work is judged against an explicit security-related correctness or quality criterion.</t>
  </si>
  <si>
    <r>
      <t>Yes</t>
    </r>
    <r>
      <rPr>
        <sz val="11"/>
        <color theme="1"/>
        <rFont val="Arial Narrow"/>
        <family val="2"/>
      </rPr>
      <t xml:space="preserve"> = assessment checks security properties such as correct algorithm use, safe parameter selection, key handling, protocol security, side-channel resistance, secure configuration, or compliance with a security standard.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practical performance is assessed, but no security-specific criterion is used or described.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available information is insufficient to determine whether security criteria are applied.</t>
    </r>
  </si>
  <si>
    <t>Whether the source reports a pre-test/post-test or another explicit before-and-after measure of learning or capability.</t>
  </si>
  <si>
    <r>
      <t xml:space="preserve">Yes = </t>
    </r>
    <r>
      <rPr>
        <sz val="11"/>
        <color theme="1"/>
        <rFont val="Arial Narrow"/>
        <family val="2"/>
      </rPr>
      <t>learner knowledge, skill, performance, confidence, or another defined outcome is measured before and after the intervention; record the outcome and design.</t>
    </r>
    <r>
      <rPr>
        <b/>
        <sz val="11"/>
        <color theme="1"/>
        <rFont val="Arial Narrow"/>
        <family val="2"/>
      </rPr>
      <t xml:space="preserve"> 
No = </t>
    </r>
    <r>
      <rPr>
        <sz val="11"/>
        <color theme="1"/>
        <rFont val="Arial Narrow"/>
        <family val="2"/>
      </rPr>
      <t>evaluation is reported but no before/after measure is used.</t>
    </r>
    <r>
      <rPr>
        <b/>
        <sz val="11"/>
        <color theme="1"/>
        <rFont val="Arial Narrow"/>
        <family val="2"/>
      </rPr>
      <t xml:space="preserve"> 
NR = </t>
    </r>
    <r>
      <rPr>
        <sz val="11"/>
        <color theme="1"/>
        <rFont val="Arial Narrow"/>
        <family val="2"/>
      </rPr>
      <t>outcome/evaluation details are insufficient. A post-test alone is not pre/post evidence.</t>
    </r>
  </si>
  <si>
    <t>Whether learner perceptions, satisfaction, usability, engagement, confidence, usefulness, or experience are measured and reported.</t>
  </si>
  <si>
    <r>
      <t>Yes</t>
    </r>
    <r>
      <rPr>
        <sz val="11"/>
        <color theme="1"/>
        <rFont val="Arial Narrow"/>
        <family val="2"/>
      </rPr>
      <t xml:space="preserve"> = survey, questionnaire, SUS, satisfaction rating, engagement measure, interviews, or qualitative feedback is reported.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evaluation exists but does not assess perception/usability.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no such information is reported.</t>
    </r>
  </si>
  <si>
    <t>Whether learning is measured again after a meaningful delay to assess whether knowledge or skills are retained.</t>
  </si>
  <si>
    <r>
      <t>Yes</t>
    </r>
    <r>
      <rPr>
        <sz val="11"/>
        <color theme="1"/>
        <rFont val="Arial Narrow"/>
        <family val="2"/>
      </rPr>
      <t xml:space="preserve"> = delayed post-test, follow-up assessment, or later skill/knowledge check is reported.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evaluation is described and only immediate outcomes are measured.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insufficient information. A post-test immediately after training is not retention evidence.</t>
    </r>
  </si>
  <si>
    <t>Whether learners demonstrate that acquired knowledge or skills can be applied to new, unfamiliar, realistic, or workplace-relevant tasks or settings.</t>
  </si>
  <si>
    <r>
      <t>Yes</t>
    </r>
    <r>
      <rPr>
        <sz val="11"/>
        <color theme="1"/>
        <rFont val="Arial Narrow"/>
        <family val="2"/>
      </rPr>
      <t xml:space="preserve"> = performance is assessed on a novel task, different context, workplace application, or independent real-world scenario.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sufficient evaluation detail exists but assessment remains confined to the taught examples/tasks.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transfer evidence cannot be determined.</t>
    </r>
  </si>
  <si>
    <t>Whether the intervention has been evaluated using observed data from learners or users.</t>
  </si>
  <si>
    <r>
      <t>Yes</t>
    </r>
    <r>
      <rPr>
        <sz val="11"/>
        <color theme="1"/>
        <rFont val="Arial Narrow"/>
        <family val="2"/>
      </rPr>
      <t xml:space="preserve"> = learner/user data are collected and analysed, e.g., test results, performance data, surveys, interviews, usability data, experimental comparisons. 
</t>
    </r>
    <r>
      <rPr>
        <b/>
        <sz val="11"/>
        <color theme="1"/>
        <rFont val="Arial Narrow"/>
        <family val="2"/>
      </rPr>
      <t>No</t>
    </r>
    <r>
      <rPr>
        <sz val="11"/>
        <color theme="1"/>
        <rFont val="Arial Narrow"/>
        <family val="2"/>
      </rPr>
      <t xml:space="preserve"> = the source only describes the intervention, curriculum, or planned assessment without reporting learner/user data. 
</t>
    </r>
    <r>
      <rPr>
        <b/>
        <sz val="11"/>
        <color theme="1"/>
        <rFont val="Arial Narrow"/>
        <family val="2"/>
      </rPr>
      <t>NR</t>
    </r>
    <r>
      <rPr>
        <sz val="11"/>
        <color theme="1"/>
        <rFont val="Arial Narrow"/>
        <family val="2"/>
      </rPr>
      <t xml:space="preserve"> = it is unclear whether evaluation data were collected or reported.</t>
    </r>
  </si>
  <si>
    <t>Assessment criteria used / proposed</t>
  </si>
  <si>
    <r>
      <rPr>
        <b/>
        <sz val="11"/>
        <rFont val="Calibri"/>
        <family val="2"/>
        <scheme val="minor"/>
      </rPr>
      <t xml:space="preserve">NOTE : </t>
    </r>
    <r>
      <rPr>
        <sz val="11"/>
        <rFont val="Calibri"/>
        <family val="2"/>
        <scheme val="minor"/>
      </rPr>
      <t xml:space="preserve">
GL indicate the training offerings
P indicate the research papers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</si>
</sst>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u/>
      <sz val="10"/>
      <color theme="10"/>
      <name val="Arial Narrow"/>
      <family val="2"/>
    </font>
    <font>
      <u/>
      <sz val="11"/>
      <color theme="1"/>
      <name val="Arial Narrow"/>
      <family val="2"/>
    </font>
    <font>
      <sz val="10"/>
      <color rgb="FF373737"/>
      <name val="Arial Narrow"/>
      <family val="2"/>
    </font>
    <font>
      <sz val="10"/>
      <color rgb="FF233749"/>
      <name val="Arial Narrow"/>
      <family val="2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1" xfId="0" applyFont="1" applyBorder="1" applyAlignment="1">
      <alignment horizontal="center"/>
    </xf>
    <xf numFmtId="0" fontId="11" fillId="0" borderId="1" xfId="1" applyFont="1" applyFill="1" applyBorder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1" xfId="0" applyFont="1" applyBorder="1"/>
    <xf numFmtId="0" fontId="10" fillId="0" borderId="0" xfId="0" applyFont="1" applyAlignment="1"/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justify" vertical="center"/>
    </xf>
    <xf numFmtId="0" fontId="7" fillId="0" borderId="0" xfId="0" applyFont="1" applyFill="1" applyBorder="1" applyAlignment="1">
      <alignment horizontal="justify" vertical="center"/>
    </xf>
    <xf numFmtId="0" fontId="0" fillId="0" borderId="0" xfId="0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8" fillId="0" borderId="1" xfId="0" applyFont="1" applyFill="1" applyBorder="1" applyAlignment="1">
      <alignment horizontal="justify" vertical="center"/>
    </xf>
    <xf numFmtId="0" fontId="8" fillId="0" borderId="1" xfId="0" applyFont="1" applyBorder="1" applyAlignment="1">
      <alignment horizontal="justify" vertical="center"/>
    </xf>
    <xf numFmtId="0" fontId="2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0" borderId="1" xfId="0" applyFont="1" applyBorder="1"/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12" fillId="0" borderId="0" xfId="1" applyFont="1" applyFill="1" applyBorder="1" applyAlignment="1">
      <alignment wrapText="1"/>
    </xf>
    <xf numFmtId="0" fontId="6" fillId="0" borderId="1" xfId="1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5" fillId="5" borderId="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/>
    <xf numFmtId="0" fontId="9" fillId="7" borderId="2" xfId="0" applyFont="1" applyFill="1" applyBorder="1" applyAlignment="1">
      <alignment horizontal="left" vertical="center"/>
    </xf>
    <xf numFmtId="0" fontId="10" fillId="7" borderId="3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justify" vertical="center"/>
    </xf>
    <xf numFmtId="0" fontId="2" fillId="5" borderId="5" xfId="0" applyFont="1" applyFill="1" applyBorder="1" applyAlignment="1">
      <alignment horizontal="center" wrapText="1"/>
    </xf>
    <xf numFmtId="0" fontId="2" fillId="5" borderId="0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left" vertical="center" wrapText="1" indent="1"/>
    </xf>
    <xf numFmtId="0" fontId="5" fillId="9" borderId="1" xfId="0" applyFont="1" applyFill="1" applyBorder="1" applyAlignment="1">
      <alignment vertical="center" wrapText="1"/>
    </xf>
    <xf numFmtId="0" fontId="5" fillId="9" borderId="6" xfId="0" applyFont="1" applyFill="1" applyBorder="1" applyAlignment="1">
      <alignment horizontal="left" vertical="center" wrapText="1" indent="1"/>
    </xf>
    <xf numFmtId="0" fontId="5" fillId="9" borderId="11" xfId="0" applyFont="1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9" fillId="9" borderId="6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wrapText="1"/>
    </xf>
    <xf numFmtId="0" fontId="9" fillId="9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9" borderId="11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center" wrapText="1"/>
    </xf>
    <xf numFmtId="0" fontId="5" fillId="9" borderId="9" xfId="0" applyFont="1" applyFill="1" applyBorder="1" applyAlignment="1">
      <alignment horizontal="center" wrapText="1"/>
    </xf>
    <xf numFmtId="0" fontId="5" fillId="9" borderId="1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wrapText="1"/>
    </xf>
    <xf numFmtId="0" fontId="6" fillId="0" borderId="0" xfId="0" applyFont="1" applyFill="1"/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 indent="1"/>
    </xf>
    <xf numFmtId="0" fontId="9" fillId="9" borderId="4" xfId="0" applyFont="1" applyFill="1" applyBorder="1" applyAlignment="1">
      <alignment horizontal="left" vertical="center" wrapText="1" indent="1"/>
    </xf>
    <xf numFmtId="0" fontId="10" fillId="0" borderId="2" xfId="0" applyFont="1" applyFill="1" applyBorder="1" applyAlignment="1">
      <alignment horizontal="left" vertical="center" wrapText="1" indent="1"/>
    </xf>
    <xf numFmtId="0" fontId="10" fillId="0" borderId="4" xfId="0" applyFont="1" applyFill="1" applyBorder="1" applyAlignment="1">
      <alignment horizontal="left" vertical="center" wrapText="1" inden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wrapText="1" indent="1"/>
    </xf>
    <xf numFmtId="0" fontId="6" fillId="0" borderId="0" xfId="0" applyFont="1" applyAlignment="1"/>
    <xf numFmtId="0" fontId="9" fillId="9" borderId="3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left" vertical="center" wrapText="1" indent="1"/>
    </xf>
    <xf numFmtId="0" fontId="6" fillId="0" borderId="0" xfId="0" applyFont="1" applyFill="1" applyAlignment="1">
      <alignment vertical="center" wrapText="1"/>
    </xf>
    <xf numFmtId="0" fontId="6" fillId="0" borderId="0" xfId="0" applyFont="1" applyAlignment="1">
      <alignment horizontal="left" wrapText="1" indent="1"/>
    </xf>
    <xf numFmtId="0" fontId="6" fillId="0" borderId="0" xfId="0" applyFont="1" applyAlignment="1">
      <alignment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9" fillId="9" borderId="7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10" fillId="8" borderId="1" xfId="0" applyFont="1" applyFill="1" applyBorder="1" applyAlignment="1"/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0" fillId="8" borderId="6" xfId="0" applyFont="1" applyFill="1" applyBorder="1" applyAlignment="1"/>
    <xf numFmtId="0" fontId="10" fillId="8" borderId="1" xfId="0" applyNumberFormat="1" applyFont="1" applyFill="1" applyBorder="1" applyAlignment="1">
      <alignment horizontal="center" vertical="center"/>
    </xf>
    <xf numFmtId="0" fontId="10" fillId="8" borderId="1" xfId="0" applyNumberFormat="1" applyFont="1" applyFill="1" applyBorder="1" applyAlignment="1"/>
    <xf numFmtId="0" fontId="14" fillId="8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10" fillId="8" borderId="0" xfId="0" applyFont="1" applyFill="1" applyAlignment="1"/>
    <xf numFmtId="0" fontId="9" fillId="8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8" borderId="1" xfId="1" applyFont="1" applyFill="1" applyBorder="1" applyAlignment="1">
      <alignment horizontal="center" vertical="center"/>
    </xf>
    <xf numFmtId="0" fontId="10" fillId="8" borderId="1" xfId="1" applyFont="1" applyFill="1" applyBorder="1" applyAlignment="1"/>
    <xf numFmtId="0" fontId="0" fillId="8" borderId="1" xfId="1" applyFont="1" applyFill="1" applyBorder="1" applyAlignment="1"/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4" borderId="1" xfId="0" applyNumberFormat="1" applyFont="1" applyFill="1" applyBorder="1" applyAlignment="1">
      <alignment horizontal="center" vertical="center" wrapText="1"/>
    </xf>
    <xf numFmtId="0" fontId="0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wrapText="1"/>
    </xf>
    <xf numFmtId="0" fontId="0" fillId="4" borderId="0" xfId="0" applyFont="1" applyFill="1" applyAlignment="1">
      <alignment wrapText="1"/>
    </xf>
    <xf numFmtId="0" fontId="17" fillId="4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nex.com/training-courses/certified-post-quantum-cybersecurity-expert-cpqce/" TargetMode="External"/><Relationship Id="rId13" Type="http://schemas.openxmlformats.org/officeDocument/2006/relationships/hyperlink" Target="https://www.tonex.com/training-courses/certified-quantum-cryptography-and-security-specialist-cqcss/" TargetMode="External"/><Relationship Id="rId3" Type="http://schemas.openxmlformats.org/officeDocument/2006/relationships/hyperlink" Target="https://www.udemy.com/course/quantum-computing-risk-and-security-masterclass" TargetMode="External"/><Relationship Id="rId7" Type="http://schemas.openxmlformats.org/officeDocument/2006/relationships/hyperlink" Target="https://www.udemy.com/course/post-quantum-cryptography-the-nist-standards-explained/?couponCode=UDEAFFHP2026" TargetMode="External"/><Relationship Id="rId12" Type="http://schemas.openxmlformats.org/officeDocument/2006/relationships/hyperlink" Target="https://www.tonex.com/training-courses/post-quantum-authentication-and-key-infrastructure-pqaki-essentials/" TargetMode="External"/><Relationship Id="rId2" Type="http://schemas.openxmlformats.org/officeDocument/2006/relationships/hyperlink" Target="https://www.coursera.org/learn/post-quantum-cryptography-foundations" TargetMode="External"/><Relationship Id="rId1" Type="http://schemas.openxmlformats.org/officeDocument/2006/relationships/hyperlink" Target="https://www.udemy.com/course/quantum-computing-risks-to-encryption-and-the-implications/?couponCode=UDEAFFHP2026" TargetMode="External"/><Relationship Id="rId6" Type="http://schemas.openxmlformats.org/officeDocument/2006/relationships/hyperlink" Target="https://www.udemy.com/course/post-quantum-cryptography-applied-pqc-nist-standards/?couponCode=UDEAFFHP2026" TargetMode="External"/><Relationship Id="rId11" Type="http://schemas.openxmlformats.org/officeDocument/2006/relationships/hyperlink" Target="https://www.tonex.com/training-courses/quantum-resistant-cryptography-and-its-defense-applications-training/" TargetMode="External"/><Relationship Id="rId5" Type="http://schemas.openxmlformats.org/officeDocument/2006/relationships/hyperlink" Target="https://www.udemy.com/course/post-quantum-crypto-migration-inventory-plan-execute/?couponCode=UDEAFFHP2026" TargetMode="External"/><Relationship Id="rId15" Type="http://schemas.openxmlformats.org/officeDocument/2006/relationships/hyperlink" Target="https://www.tonex.com/training-courses/certified-quantum-post-quantum-cryptography-professional-qpqcp/" TargetMode="External"/><Relationship Id="rId10" Type="http://schemas.openxmlformats.org/officeDocument/2006/relationships/hyperlink" Target="https://www.tonex.com/training-courses/introduction-to-quantum-computing-security-for-programmers-iqcsp/" TargetMode="External"/><Relationship Id="rId4" Type="http://schemas.openxmlformats.org/officeDocument/2006/relationships/hyperlink" Target="https://www.edx.org/learn/computer-science/university-system-of-maryland-introduction-to-post-quantum-cryptography" TargetMode="External"/><Relationship Id="rId9" Type="http://schemas.openxmlformats.org/officeDocument/2006/relationships/hyperlink" Target="https://www.tonex.com/training-courses/certified-quantum-cryptography-architect-cqca/" TargetMode="External"/><Relationship Id="rId14" Type="http://schemas.openxmlformats.org/officeDocument/2006/relationships/hyperlink" Target="https://www.tonex.com/training-courses/introduction-to-post-quantum-cryptography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course/quantum-computing-risk-and-security-masterclass" TargetMode="External"/><Relationship Id="rId3" Type="http://schemas.openxmlformats.org/officeDocument/2006/relationships/hyperlink" Target="https://www.tonex.com/training-courses/quantum-resistant-cryptography-and-its-defense-applications-training/" TargetMode="External"/><Relationship Id="rId7" Type="http://schemas.openxmlformats.org/officeDocument/2006/relationships/hyperlink" Target="https://www.coursera.org/learn/post-quantum-cryptography-foundations" TargetMode="External"/><Relationship Id="rId12" Type="http://schemas.openxmlformats.org/officeDocument/2006/relationships/hyperlink" Target="https://www.udemy.com/course/post-quantum-cryptography-the-nist-standards-explained/?couponCode=UDEAFFHP2026" TargetMode="External"/><Relationship Id="rId2" Type="http://schemas.openxmlformats.org/officeDocument/2006/relationships/hyperlink" Target="https://www.tonex.com/training-courses/certified-quantum-cryptography-and-security-specialist-cqcss/" TargetMode="External"/><Relationship Id="rId1" Type="http://schemas.openxmlformats.org/officeDocument/2006/relationships/hyperlink" Target="https://www.tonex.com/training-courses/certified-quantum-post-quantum-cryptography-professional-qpqcp/" TargetMode="External"/><Relationship Id="rId6" Type="http://schemas.openxmlformats.org/officeDocument/2006/relationships/hyperlink" Target="https://www.udemy.com/course/quantum-computing-risks-to-encryption-and-the-implications/?couponCode=UDEAFFHP2026" TargetMode="External"/><Relationship Id="rId11" Type="http://schemas.openxmlformats.org/officeDocument/2006/relationships/hyperlink" Target="https://www.udemy.com/course/post-quantum-cryptography-applied-pqc-nist-standards/?couponCode=UDEAFFHP2026" TargetMode="External"/><Relationship Id="rId5" Type="http://schemas.openxmlformats.org/officeDocument/2006/relationships/hyperlink" Target="https://www.tonex.com/training-courses/introduction-to-post-quantum-cryptography/" TargetMode="External"/><Relationship Id="rId10" Type="http://schemas.openxmlformats.org/officeDocument/2006/relationships/hyperlink" Target="https://www.udemy.com/course/post-quantum-crypto-migration-inventory-plan-execute/?couponCode=UDEAFFHP2026" TargetMode="External"/><Relationship Id="rId4" Type="http://schemas.openxmlformats.org/officeDocument/2006/relationships/hyperlink" Target="https://www.tonex.com/training-courses/post-quantum-authentication-and-key-infrastructure-pqaki-essentials/" TargetMode="External"/><Relationship Id="rId9" Type="http://schemas.openxmlformats.org/officeDocument/2006/relationships/hyperlink" Target="https://www.edx.org/learn/computer-science/university-system-of-maryland-introduction-to-post-quantum-cryptography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onex.com/training-courses/certified-quantum-cryptography-architect-cqca/" TargetMode="External"/><Relationship Id="rId13" Type="http://schemas.openxmlformats.org/officeDocument/2006/relationships/hyperlink" Target="https://www.tonex.com/training-courses/introduction-to-post-quantum-cryptography/" TargetMode="External"/><Relationship Id="rId3" Type="http://schemas.openxmlformats.org/officeDocument/2006/relationships/hyperlink" Target="https://www.udemy.com/course/quantum-computing-risk-and-security-masterclass" TargetMode="External"/><Relationship Id="rId7" Type="http://schemas.openxmlformats.org/officeDocument/2006/relationships/hyperlink" Target="https://www.tonex.com/training-courses/certified-post-quantum-cybersecurity-expert-cpqce/" TargetMode="External"/><Relationship Id="rId12" Type="http://schemas.openxmlformats.org/officeDocument/2006/relationships/hyperlink" Target="https://www.tonex.com/training-courses/certified-quantum-cryptography-and-security-specialist-cqcss/" TargetMode="External"/><Relationship Id="rId2" Type="http://schemas.openxmlformats.org/officeDocument/2006/relationships/hyperlink" Target="https://www.coursera.org/learn/post-quantum-cryptography-foundations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udemy.com/course/quantum-computing-risks-to-encryption-and-the-implications/?couponCode=UDEAFFHP2026" TargetMode="External"/><Relationship Id="rId6" Type="http://schemas.openxmlformats.org/officeDocument/2006/relationships/hyperlink" Target="https://www.udemy.com/course/post-quantum-cryptography-the-nist-standards-explained/?couponCode=UDEAFFHP2026" TargetMode="External"/><Relationship Id="rId11" Type="http://schemas.openxmlformats.org/officeDocument/2006/relationships/hyperlink" Target="https://www.tonex.com/training-courses/post-quantum-authentication-and-key-infrastructure-pqaki-essentials/" TargetMode="External"/><Relationship Id="rId5" Type="http://schemas.openxmlformats.org/officeDocument/2006/relationships/hyperlink" Target="https://www.udemy.com/course/post-quantum-crypto-migration-inventory-plan-execute/?couponCode=UDEAFFHP2026" TargetMode="External"/><Relationship Id="rId15" Type="http://schemas.openxmlformats.org/officeDocument/2006/relationships/hyperlink" Target="https://www.udemy.com/course/post-quantum-cryptography-applied-pqc-nist-standards/?couponCode=UDEAFFHP2026" TargetMode="External"/><Relationship Id="rId10" Type="http://schemas.openxmlformats.org/officeDocument/2006/relationships/hyperlink" Target="https://www.tonex.com/training-courses/quantum-resistant-cryptography-and-its-defense-applications-training/" TargetMode="External"/><Relationship Id="rId4" Type="http://schemas.openxmlformats.org/officeDocument/2006/relationships/hyperlink" Target="https://www.edx.org/learn/computer-science/university-system-of-maryland-introduction-to-post-quantum-cryptography" TargetMode="External"/><Relationship Id="rId9" Type="http://schemas.openxmlformats.org/officeDocument/2006/relationships/hyperlink" Target="https://www.tonex.com/training-courses/introduction-to-quantum-computing-security-for-programmers-iqcsp/" TargetMode="External"/><Relationship Id="rId14" Type="http://schemas.openxmlformats.org/officeDocument/2006/relationships/hyperlink" Target="https://www.tonex.com/training-courses/certified-quantum-post-quantum-cryptography-professional-qpqcp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30" sqref="B30"/>
    </sheetView>
  </sheetViews>
  <sheetFormatPr defaultRowHeight="14.4" x14ac:dyDescent="0.55000000000000004"/>
  <cols>
    <col min="1" max="1" width="29.26171875" customWidth="1"/>
    <col min="2" max="2" width="112.89453125" customWidth="1"/>
  </cols>
  <sheetData>
    <row r="1" spans="1:2" x14ac:dyDescent="0.55000000000000004">
      <c r="A1" s="2" t="s">
        <v>23</v>
      </c>
      <c r="B1" s="2" t="s">
        <v>24</v>
      </c>
    </row>
    <row r="2" spans="1:2" s="14" customFormat="1" x14ac:dyDescent="0.55000000000000004">
      <c r="A2" s="110" t="s">
        <v>25</v>
      </c>
      <c r="B2" s="111" t="s">
        <v>826</v>
      </c>
    </row>
    <row r="3" spans="1:2" x14ac:dyDescent="0.55000000000000004">
      <c r="A3" s="108" t="s">
        <v>29</v>
      </c>
      <c r="B3" s="42" t="s">
        <v>825</v>
      </c>
    </row>
    <row r="4" spans="1:2" x14ac:dyDescent="0.55000000000000004">
      <c r="A4" s="108" t="s">
        <v>30</v>
      </c>
      <c r="B4" s="42" t="s">
        <v>827</v>
      </c>
    </row>
    <row r="5" spans="1:2" x14ac:dyDescent="0.55000000000000004">
      <c r="A5" s="108" t="s">
        <v>26</v>
      </c>
      <c r="B5" s="42" t="s">
        <v>824</v>
      </c>
    </row>
    <row r="6" spans="1:2" x14ac:dyDescent="0.55000000000000004">
      <c r="A6" s="108" t="s">
        <v>28</v>
      </c>
      <c r="B6" s="42" t="s">
        <v>822</v>
      </c>
    </row>
    <row r="7" spans="1:2" x14ac:dyDescent="0.55000000000000004">
      <c r="A7" s="108" t="s">
        <v>27</v>
      </c>
      <c r="B7" s="42" t="s">
        <v>823</v>
      </c>
    </row>
    <row r="8" spans="1:2" x14ac:dyDescent="0.55000000000000004">
      <c r="A8" s="108" t="s">
        <v>22</v>
      </c>
      <c r="B8" s="42" t="s">
        <v>821</v>
      </c>
    </row>
    <row r="9" spans="1:2" x14ac:dyDescent="0.55000000000000004">
      <c r="A9" s="109" t="s">
        <v>819</v>
      </c>
      <c r="B9" s="39" t="s">
        <v>820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opLeftCell="A11" workbookViewId="0">
      <selection activeCell="D35" sqref="D35"/>
    </sheetView>
  </sheetViews>
  <sheetFormatPr defaultRowHeight="14.1" x14ac:dyDescent="0.5"/>
  <cols>
    <col min="1" max="1" width="8.83984375" style="56"/>
    <col min="2" max="2" width="49.83984375" style="56" customWidth="1"/>
    <col min="3" max="3" width="53.15625" style="56" customWidth="1"/>
    <col min="4" max="4" width="25.15625" style="56" customWidth="1"/>
    <col min="5" max="5" width="12.26171875" style="56" customWidth="1"/>
    <col min="6" max="6" width="43.1015625" style="56" customWidth="1"/>
    <col min="7" max="7" width="22.68359375" style="56" customWidth="1"/>
    <col min="8" max="16384" width="8.83984375" style="56"/>
  </cols>
  <sheetData>
    <row r="1" spans="1:7" x14ac:dyDescent="0.5">
      <c r="A1" s="76" t="s">
        <v>31</v>
      </c>
      <c r="B1" s="77"/>
      <c r="C1" s="77"/>
      <c r="D1" s="77"/>
      <c r="E1" s="77"/>
      <c r="F1" s="77"/>
      <c r="G1" s="78"/>
    </row>
    <row r="2" spans="1:7" s="57" customFormat="1" ht="28.2" x14ac:dyDescent="0.5">
      <c r="A2" s="55" t="s">
        <v>338</v>
      </c>
      <c r="B2" s="55" t="s">
        <v>63</v>
      </c>
      <c r="C2" s="55" t="s">
        <v>125</v>
      </c>
      <c r="D2" s="55" t="s">
        <v>307</v>
      </c>
      <c r="E2" s="55" t="s">
        <v>308</v>
      </c>
      <c r="F2" s="55" t="s">
        <v>334</v>
      </c>
      <c r="G2" s="55" t="s">
        <v>335</v>
      </c>
    </row>
    <row r="3" spans="1:7" ht="28.2" x14ac:dyDescent="0.5">
      <c r="A3" s="58" t="s">
        <v>162</v>
      </c>
      <c r="B3" s="63" t="s">
        <v>81</v>
      </c>
      <c r="C3" s="61" t="s">
        <v>309</v>
      </c>
      <c r="D3" s="61" t="s">
        <v>310</v>
      </c>
      <c r="E3" s="52" t="s">
        <v>311</v>
      </c>
      <c r="F3" s="52" t="s">
        <v>312</v>
      </c>
      <c r="G3" s="52" t="s">
        <v>313</v>
      </c>
    </row>
    <row r="4" spans="1:7" ht="28.2" x14ac:dyDescent="0.5">
      <c r="A4" s="58" t="s">
        <v>163</v>
      </c>
      <c r="B4" s="63" t="s">
        <v>84</v>
      </c>
      <c r="C4" s="61" t="s">
        <v>314</v>
      </c>
      <c r="D4" s="61" t="s">
        <v>310</v>
      </c>
      <c r="E4" s="52" t="s">
        <v>311</v>
      </c>
      <c r="F4" s="52" t="s">
        <v>312</v>
      </c>
      <c r="G4" s="52" t="s">
        <v>313</v>
      </c>
    </row>
    <row r="5" spans="1:7" ht="28.2" x14ac:dyDescent="0.5">
      <c r="A5" s="58" t="s">
        <v>164</v>
      </c>
      <c r="B5" s="63" t="s">
        <v>86</v>
      </c>
      <c r="C5" s="61" t="s">
        <v>315</v>
      </c>
      <c r="D5" s="61" t="s">
        <v>310</v>
      </c>
      <c r="E5" s="52" t="s">
        <v>311</v>
      </c>
      <c r="F5" s="52" t="s">
        <v>312</v>
      </c>
      <c r="G5" s="52" t="s">
        <v>316</v>
      </c>
    </row>
    <row r="6" spans="1:7" ht="28.2" x14ac:dyDescent="0.5">
      <c r="A6" s="58" t="s">
        <v>165</v>
      </c>
      <c r="B6" s="63" t="s">
        <v>89</v>
      </c>
      <c r="C6" s="61" t="s">
        <v>317</v>
      </c>
      <c r="D6" s="61" t="s">
        <v>310</v>
      </c>
      <c r="E6" s="52" t="s">
        <v>311</v>
      </c>
      <c r="F6" s="52" t="s">
        <v>312</v>
      </c>
      <c r="G6" s="52" t="s">
        <v>313</v>
      </c>
    </row>
    <row r="7" spans="1:7" ht="28.2" x14ac:dyDescent="0.5">
      <c r="A7" s="58" t="s">
        <v>166</v>
      </c>
      <c r="B7" s="63" t="s">
        <v>92</v>
      </c>
      <c r="C7" s="61" t="s">
        <v>318</v>
      </c>
      <c r="D7" s="61" t="s">
        <v>310</v>
      </c>
      <c r="E7" s="52" t="s">
        <v>311</v>
      </c>
      <c r="F7" s="52" t="s">
        <v>312</v>
      </c>
      <c r="G7" s="52" t="s">
        <v>319</v>
      </c>
    </row>
    <row r="8" spans="1:7" ht="28.2" x14ac:dyDescent="0.5">
      <c r="A8" s="58" t="s">
        <v>167</v>
      </c>
      <c r="B8" s="63" t="s">
        <v>94</v>
      </c>
      <c r="C8" s="61" t="s">
        <v>320</v>
      </c>
      <c r="D8" s="61" t="s">
        <v>310</v>
      </c>
      <c r="E8" s="52" t="s">
        <v>311</v>
      </c>
      <c r="F8" s="52" t="s">
        <v>312</v>
      </c>
      <c r="G8" s="52" t="s">
        <v>319</v>
      </c>
    </row>
    <row r="9" spans="1:7" ht="28.2" x14ac:dyDescent="0.5">
      <c r="A9" s="58" t="s">
        <v>168</v>
      </c>
      <c r="B9" s="63" t="s">
        <v>97</v>
      </c>
      <c r="C9" s="61" t="s">
        <v>321</v>
      </c>
      <c r="D9" s="61" t="s">
        <v>310</v>
      </c>
      <c r="E9" s="52" t="s">
        <v>311</v>
      </c>
      <c r="F9" s="52" t="s">
        <v>312</v>
      </c>
      <c r="G9" s="52" t="s">
        <v>313</v>
      </c>
    </row>
    <row r="10" spans="1:7" ht="28.2" x14ac:dyDescent="0.5">
      <c r="A10" s="58" t="s">
        <v>169</v>
      </c>
      <c r="B10" s="63" t="s">
        <v>100</v>
      </c>
      <c r="C10" s="61" t="s">
        <v>322</v>
      </c>
      <c r="D10" s="61" t="s">
        <v>310</v>
      </c>
      <c r="E10" s="52" t="s">
        <v>311</v>
      </c>
      <c r="F10" s="52" t="s">
        <v>312</v>
      </c>
      <c r="G10" s="52" t="s">
        <v>319</v>
      </c>
    </row>
    <row r="11" spans="1:7" ht="28.2" x14ac:dyDescent="0.5">
      <c r="A11" s="58" t="s">
        <v>170</v>
      </c>
      <c r="B11" s="63" t="s">
        <v>103</v>
      </c>
      <c r="C11" s="64" t="s">
        <v>323</v>
      </c>
      <c r="D11" s="64" t="s">
        <v>324</v>
      </c>
      <c r="E11" s="52" t="s">
        <v>325</v>
      </c>
      <c r="F11" s="52" t="s">
        <v>312</v>
      </c>
      <c r="G11" s="52" t="s">
        <v>313</v>
      </c>
    </row>
    <row r="12" spans="1:7" ht="28.2" x14ac:dyDescent="0.5">
      <c r="A12" s="58" t="s">
        <v>171</v>
      </c>
      <c r="B12" s="63" t="s">
        <v>105</v>
      </c>
      <c r="C12" s="64" t="s">
        <v>326</v>
      </c>
      <c r="D12" s="64" t="s">
        <v>327</v>
      </c>
      <c r="E12" s="52" t="s">
        <v>325</v>
      </c>
      <c r="F12" s="52" t="s">
        <v>312</v>
      </c>
      <c r="G12" s="52" t="s">
        <v>313</v>
      </c>
    </row>
    <row r="13" spans="1:7" ht="28.2" x14ac:dyDescent="0.5">
      <c r="A13" s="58" t="s">
        <v>172</v>
      </c>
      <c r="B13" s="63" t="s">
        <v>108</v>
      </c>
      <c r="C13" s="64" t="s">
        <v>328</v>
      </c>
      <c r="D13" s="64" t="s">
        <v>324</v>
      </c>
      <c r="E13" s="52" t="s">
        <v>277</v>
      </c>
      <c r="F13" s="52" t="s">
        <v>312</v>
      </c>
      <c r="G13" s="52" t="s">
        <v>313</v>
      </c>
    </row>
    <row r="14" spans="1:7" ht="28.2" x14ac:dyDescent="0.5">
      <c r="A14" s="58" t="s">
        <v>173</v>
      </c>
      <c r="B14" s="63" t="s">
        <v>111</v>
      </c>
      <c r="C14" s="64" t="s">
        <v>322</v>
      </c>
      <c r="D14" s="64" t="s">
        <v>329</v>
      </c>
      <c r="E14" s="52" t="s">
        <v>275</v>
      </c>
      <c r="F14" s="52" t="s">
        <v>330</v>
      </c>
      <c r="G14" s="52" t="s">
        <v>313</v>
      </c>
    </row>
    <row r="15" spans="1:7" ht="28.2" x14ac:dyDescent="0.5">
      <c r="A15" s="58" t="s">
        <v>174</v>
      </c>
      <c r="B15" s="63" t="s">
        <v>114</v>
      </c>
      <c r="C15" s="64" t="s">
        <v>331</v>
      </c>
      <c r="D15" s="64" t="s">
        <v>324</v>
      </c>
      <c r="E15" s="52" t="s">
        <v>277</v>
      </c>
      <c r="F15" s="52" t="s">
        <v>312</v>
      </c>
      <c r="G15" s="52" t="s">
        <v>313</v>
      </c>
    </row>
    <row r="16" spans="1:7" ht="28.2" x14ac:dyDescent="0.5">
      <c r="A16" s="58" t="s">
        <v>175</v>
      </c>
      <c r="B16" s="63" t="s">
        <v>115</v>
      </c>
      <c r="C16" s="64" t="s">
        <v>332</v>
      </c>
      <c r="D16" s="64" t="s">
        <v>324</v>
      </c>
      <c r="E16" s="52" t="s">
        <v>277</v>
      </c>
      <c r="F16" s="52" t="s">
        <v>312</v>
      </c>
      <c r="G16" s="52" t="s">
        <v>313</v>
      </c>
    </row>
    <row r="17" spans="1:7" ht="28.2" x14ac:dyDescent="0.5">
      <c r="A17" s="58" t="s">
        <v>176</v>
      </c>
      <c r="B17" s="63" t="s">
        <v>118</v>
      </c>
      <c r="C17" s="64" t="s">
        <v>333</v>
      </c>
      <c r="D17" s="64" t="s">
        <v>324</v>
      </c>
      <c r="E17" s="52" t="s">
        <v>277</v>
      </c>
      <c r="F17" s="52" t="s">
        <v>312</v>
      </c>
      <c r="G17" s="52" t="s">
        <v>313</v>
      </c>
    </row>
    <row r="18" spans="1:7" x14ac:dyDescent="0.5">
      <c r="A18" s="59"/>
      <c r="B18" s="62"/>
      <c r="C18" s="53"/>
      <c r="D18" s="53"/>
      <c r="E18" s="54"/>
      <c r="F18" s="54"/>
      <c r="G18" s="54"/>
    </row>
    <row r="19" spans="1:7" ht="14.1" customHeight="1" x14ac:dyDescent="0.5">
      <c r="A19" s="79" t="s">
        <v>336</v>
      </c>
      <c r="B19" s="79"/>
      <c r="C19" s="79"/>
      <c r="D19" s="79"/>
      <c r="E19" s="79"/>
      <c r="F19" s="79"/>
      <c r="G19" s="79"/>
    </row>
    <row r="20" spans="1:7" x14ac:dyDescent="0.5">
      <c r="A20" s="65" t="s">
        <v>337</v>
      </c>
      <c r="B20" s="65"/>
      <c r="C20" s="65" t="s">
        <v>125</v>
      </c>
      <c r="D20" s="65" t="s">
        <v>339</v>
      </c>
      <c r="E20" s="65" t="s">
        <v>340</v>
      </c>
      <c r="F20" s="79" t="s">
        <v>341</v>
      </c>
      <c r="G20" s="79"/>
    </row>
    <row r="21" spans="1:7" ht="42.3" customHeight="1" x14ac:dyDescent="0.5">
      <c r="A21" s="55" t="s">
        <v>177</v>
      </c>
      <c r="B21" s="13" t="s">
        <v>289</v>
      </c>
      <c r="C21" s="13" t="s">
        <v>127</v>
      </c>
      <c r="D21" s="66" t="s">
        <v>290</v>
      </c>
      <c r="E21" s="66">
        <v>2026</v>
      </c>
      <c r="F21" s="75" t="s">
        <v>291</v>
      </c>
      <c r="G21" s="75"/>
    </row>
    <row r="22" spans="1:7" ht="42.3" x14ac:dyDescent="0.5">
      <c r="A22" s="55" t="s">
        <v>178</v>
      </c>
      <c r="B22" s="13" t="s">
        <v>292</v>
      </c>
      <c r="C22" s="13" t="s">
        <v>128</v>
      </c>
      <c r="D22" s="66" t="s">
        <v>293</v>
      </c>
      <c r="E22" s="66">
        <v>2026</v>
      </c>
      <c r="F22" s="75" t="s">
        <v>294</v>
      </c>
      <c r="G22" s="75"/>
    </row>
    <row r="23" spans="1:7" ht="28.2" x14ac:dyDescent="0.5">
      <c r="A23" s="55" t="s">
        <v>179</v>
      </c>
      <c r="B23" s="13" t="s">
        <v>295</v>
      </c>
      <c r="C23" s="13" t="s">
        <v>129</v>
      </c>
      <c r="D23" s="66" t="s">
        <v>290</v>
      </c>
      <c r="E23" s="66">
        <v>2026</v>
      </c>
      <c r="F23" s="75" t="s">
        <v>296</v>
      </c>
      <c r="G23" s="75"/>
    </row>
    <row r="24" spans="1:7" ht="42.3" x14ac:dyDescent="0.5">
      <c r="A24" s="55" t="s">
        <v>180</v>
      </c>
      <c r="B24" s="13" t="s">
        <v>297</v>
      </c>
      <c r="C24" s="13" t="s">
        <v>132</v>
      </c>
      <c r="D24" s="66" t="s">
        <v>290</v>
      </c>
      <c r="E24" s="66">
        <v>2025</v>
      </c>
      <c r="F24" s="75" t="s">
        <v>298</v>
      </c>
      <c r="G24" s="75"/>
    </row>
    <row r="25" spans="1:7" ht="28.2" x14ac:dyDescent="0.5">
      <c r="A25" s="55" t="s">
        <v>181</v>
      </c>
      <c r="B25" s="13" t="s">
        <v>289</v>
      </c>
      <c r="C25" s="13" t="s">
        <v>135</v>
      </c>
      <c r="D25" s="66" t="s">
        <v>290</v>
      </c>
      <c r="E25" s="66">
        <v>2026</v>
      </c>
      <c r="F25" s="75" t="s">
        <v>299</v>
      </c>
      <c r="G25" s="75"/>
    </row>
    <row r="26" spans="1:7" ht="42.3" x14ac:dyDescent="0.5">
      <c r="A26" s="55" t="s">
        <v>182</v>
      </c>
      <c r="B26" s="13" t="s">
        <v>300</v>
      </c>
      <c r="C26" s="13" t="s">
        <v>138</v>
      </c>
      <c r="D26" s="66" t="s">
        <v>290</v>
      </c>
      <c r="E26" s="66">
        <v>2024</v>
      </c>
      <c r="F26" s="75" t="s">
        <v>301</v>
      </c>
      <c r="G26" s="75"/>
    </row>
    <row r="27" spans="1:7" ht="28.2" x14ac:dyDescent="0.5">
      <c r="A27" s="55" t="s">
        <v>183</v>
      </c>
      <c r="B27" s="13" t="s">
        <v>302</v>
      </c>
      <c r="C27" s="13" t="s">
        <v>141</v>
      </c>
      <c r="D27" s="66" t="s">
        <v>293</v>
      </c>
      <c r="E27" s="66">
        <v>2026</v>
      </c>
      <c r="F27" s="75" t="s">
        <v>303</v>
      </c>
      <c r="G27" s="75"/>
    </row>
    <row r="28" spans="1:7" ht="28.2" x14ac:dyDescent="0.5">
      <c r="A28" s="55" t="s">
        <v>184</v>
      </c>
      <c r="B28" s="60" t="s">
        <v>304</v>
      </c>
      <c r="C28" s="13" t="s">
        <v>144</v>
      </c>
      <c r="D28" s="67" t="s">
        <v>305</v>
      </c>
      <c r="E28" s="67">
        <v>2026</v>
      </c>
      <c r="F28" s="74" t="s">
        <v>306</v>
      </c>
      <c r="G28" s="74"/>
    </row>
  </sheetData>
  <mergeCells count="11">
    <mergeCell ref="F28:G28"/>
    <mergeCell ref="F27:G27"/>
    <mergeCell ref="A1:G1"/>
    <mergeCell ref="A19:G19"/>
    <mergeCell ref="F20:G20"/>
    <mergeCell ref="F21:G21"/>
    <mergeCell ref="F22:G22"/>
    <mergeCell ref="F23:G23"/>
    <mergeCell ref="F24:G24"/>
    <mergeCell ref="F25:G25"/>
    <mergeCell ref="F26:G26"/>
  </mergeCells>
  <conditionalFormatting sqref="B11:B12">
    <cfRule type="duplicateValues" dxfId="11" priority="1"/>
  </conditionalFormatting>
  <hyperlinks>
    <hyperlink ref="B11" r:id="rId1"/>
    <hyperlink ref="B12" r:id="rId2"/>
    <hyperlink ref="B13" r:id="rId3"/>
    <hyperlink ref="B14" r:id="rId4"/>
    <hyperlink ref="B15" r:id="rId5"/>
    <hyperlink ref="B16" r:id="rId6"/>
    <hyperlink ref="B17" r:id="rId7"/>
    <hyperlink ref="B3" r:id="rId8"/>
    <hyperlink ref="B4" r:id="rId9"/>
    <hyperlink ref="B5" r:id="rId10"/>
    <hyperlink ref="B7" r:id="rId11"/>
    <hyperlink ref="B8" r:id="rId12"/>
    <hyperlink ref="B9" r:id="rId13"/>
    <hyperlink ref="B10" r:id="rId14"/>
    <hyperlink ref="B6" r:id="rId1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activeCell="C33" sqref="C33"/>
    </sheetView>
  </sheetViews>
  <sheetFormatPr defaultRowHeight="14.4" x14ac:dyDescent="0.55000000000000004"/>
  <cols>
    <col min="1" max="1" width="8.83984375" style="10"/>
    <col min="2" max="2" width="38.68359375" style="10" customWidth="1"/>
    <col min="3" max="3" width="150.3125" style="10" customWidth="1"/>
  </cols>
  <sheetData>
    <row r="1" spans="1:3" x14ac:dyDescent="0.55000000000000004">
      <c r="A1" s="81" t="s">
        <v>31</v>
      </c>
      <c r="B1" s="81"/>
      <c r="C1" s="81"/>
    </row>
    <row r="2" spans="1:3" x14ac:dyDescent="0.55000000000000004">
      <c r="A2" s="91" t="s">
        <v>32</v>
      </c>
      <c r="B2" s="92"/>
      <c r="C2" s="93"/>
    </row>
    <row r="3" spans="1:3" x14ac:dyDescent="0.55000000000000004">
      <c r="A3" s="11" t="s">
        <v>33</v>
      </c>
      <c r="B3" s="11" t="s">
        <v>32</v>
      </c>
      <c r="C3" s="11" t="s">
        <v>34</v>
      </c>
    </row>
    <row r="4" spans="1:3" x14ac:dyDescent="0.55000000000000004">
      <c r="A4" s="12" t="s">
        <v>206</v>
      </c>
      <c r="B4" s="37" t="s">
        <v>35</v>
      </c>
      <c r="C4" s="37" t="s">
        <v>36</v>
      </c>
    </row>
    <row r="5" spans="1:3" x14ac:dyDescent="0.55000000000000004">
      <c r="A5" s="12" t="s">
        <v>207</v>
      </c>
      <c r="B5" s="37" t="s">
        <v>37</v>
      </c>
      <c r="C5" s="37" t="s">
        <v>38</v>
      </c>
    </row>
    <row r="6" spans="1:3" ht="28.8" x14ac:dyDescent="0.55000000000000004">
      <c r="A6" s="12" t="s">
        <v>208</v>
      </c>
      <c r="B6" s="37" t="s">
        <v>39</v>
      </c>
      <c r="C6" s="37" t="s">
        <v>40</v>
      </c>
    </row>
    <row r="7" spans="1:3" ht="28.8" x14ac:dyDescent="0.55000000000000004">
      <c r="A7" s="12" t="s">
        <v>209</v>
      </c>
      <c r="B7" s="37" t="s">
        <v>41</v>
      </c>
      <c r="C7" s="37" t="s">
        <v>42</v>
      </c>
    </row>
    <row r="8" spans="1:3" ht="28.8" x14ac:dyDescent="0.55000000000000004">
      <c r="A8" s="12" t="s">
        <v>210</v>
      </c>
      <c r="B8" s="37" t="s">
        <v>43</v>
      </c>
      <c r="C8" s="37" t="s">
        <v>202</v>
      </c>
    </row>
    <row r="9" spans="1:3" x14ac:dyDescent="0.55000000000000004">
      <c r="A9" s="12" t="s">
        <v>211</v>
      </c>
      <c r="B9" s="37" t="s">
        <v>44</v>
      </c>
      <c r="C9" s="37" t="s">
        <v>45</v>
      </c>
    </row>
    <row r="12" spans="1:3" x14ac:dyDescent="0.55000000000000004">
      <c r="A12" s="91" t="s">
        <v>46</v>
      </c>
      <c r="B12" s="92"/>
      <c r="C12" s="93"/>
    </row>
    <row r="13" spans="1:3" x14ac:dyDescent="0.55000000000000004">
      <c r="A13" s="11" t="s">
        <v>33</v>
      </c>
      <c r="B13" s="11" t="s">
        <v>46</v>
      </c>
      <c r="C13" s="11" t="s">
        <v>34</v>
      </c>
    </row>
    <row r="14" spans="1:3" x14ac:dyDescent="0.55000000000000004">
      <c r="A14" s="12" t="s">
        <v>212</v>
      </c>
      <c r="B14" s="37" t="s">
        <v>47</v>
      </c>
      <c r="C14" s="38" t="s">
        <v>222</v>
      </c>
    </row>
    <row r="15" spans="1:3" x14ac:dyDescent="0.55000000000000004">
      <c r="A15" s="12" t="s">
        <v>213</v>
      </c>
      <c r="B15" s="37" t="s">
        <v>48</v>
      </c>
      <c r="C15" s="38" t="s">
        <v>49</v>
      </c>
    </row>
    <row r="16" spans="1:3" x14ac:dyDescent="0.55000000000000004">
      <c r="A16" s="12" t="s">
        <v>214</v>
      </c>
      <c r="B16" s="37" t="s">
        <v>50</v>
      </c>
      <c r="C16" s="38" t="s">
        <v>51</v>
      </c>
    </row>
    <row r="17" spans="1:3" x14ac:dyDescent="0.55000000000000004">
      <c r="A17" s="12" t="s">
        <v>215</v>
      </c>
      <c r="B17" s="37" t="s">
        <v>52</v>
      </c>
      <c r="C17" s="38" t="s">
        <v>53</v>
      </c>
    </row>
    <row r="18" spans="1:3" x14ac:dyDescent="0.55000000000000004">
      <c r="A18" s="12" t="s">
        <v>216</v>
      </c>
      <c r="B18" s="37" t="s">
        <v>54</v>
      </c>
      <c r="C18" s="38" t="s">
        <v>55</v>
      </c>
    </row>
    <row r="19" spans="1:3" x14ac:dyDescent="0.55000000000000004">
      <c r="A19" s="12" t="s">
        <v>217</v>
      </c>
      <c r="B19" s="37" t="s">
        <v>56</v>
      </c>
      <c r="C19" s="38" t="s">
        <v>57</v>
      </c>
    </row>
    <row r="20" spans="1:3" x14ac:dyDescent="0.55000000000000004">
      <c r="A20" s="12" t="s">
        <v>218</v>
      </c>
      <c r="B20" s="37" t="s">
        <v>58</v>
      </c>
      <c r="C20" s="38" t="s">
        <v>203</v>
      </c>
    </row>
    <row r="21" spans="1:3" x14ac:dyDescent="0.55000000000000004">
      <c r="A21" s="12" t="s">
        <v>219</v>
      </c>
      <c r="B21" s="37" t="s">
        <v>59</v>
      </c>
      <c r="C21" s="38" t="s">
        <v>204</v>
      </c>
    </row>
    <row r="22" spans="1:3" x14ac:dyDescent="0.55000000000000004">
      <c r="A22" s="12" t="s">
        <v>220</v>
      </c>
      <c r="B22" s="37" t="s">
        <v>60</v>
      </c>
      <c r="C22" s="38" t="s">
        <v>61</v>
      </c>
    </row>
    <row r="23" spans="1:3" x14ac:dyDescent="0.55000000000000004">
      <c r="A23" s="12" t="s">
        <v>221</v>
      </c>
      <c r="B23" s="37" t="s">
        <v>62</v>
      </c>
      <c r="C23" s="38" t="s">
        <v>205</v>
      </c>
    </row>
    <row r="25" spans="1:3" x14ac:dyDescent="0.55000000000000004">
      <c r="A25" s="81" t="s">
        <v>185</v>
      </c>
      <c r="B25" s="81"/>
      <c r="C25" s="81"/>
    </row>
    <row r="26" spans="1:3" x14ac:dyDescent="0.55000000000000004">
      <c r="A26" s="91" t="s">
        <v>32</v>
      </c>
      <c r="B26" s="92"/>
      <c r="C26" s="93"/>
    </row>
    <row r="27" spans="1:3" x14ac:dyDescent="0.55000000000000004">
      <c r="A27" s="11" t="s">
        <v>33</v>
      </c>
      <c r="B27" s="11" t="s">
        <v>32</v>
      </c>
      <c r="C27" s="11" t="s">
        <v>34</v>
      </c>
    </row>
    <row r="28" spans="1:3" x14ac:dyDescent="0.55000000000000004">
      <c r="A28" s="36" t="s">
        <v>229</v>
      </c>
      <c r="B28" s="39" t="s">
        <v>246</v>
      </c>
      <c r="C28" s="40" t="s">
        <v>247</v>
      </c>
    </row>
    <row r="29" spans="1:3" x14ac:dyDescent="0.55000000000000004">
      <c r="A29" s="36" t="s">
        <v>231</v>
      </c>
      <c r="B29" t="s">
        <v>248</v>
      </c>
      <c r="C29" t="s">
        <v>249</v>
      </c>
    </row>
    <row r="30" spans="1:3" x14ac:dyDescent="0.55000000000000004">
      <c r="A30" s="36" t="s">
        <v>232</v>
      </c>
      <c r="B30" s="39" t="s">
        <v>223</v>
      </c>
      <c r="C30" s="40" t="s">
        <v>227</v>
      </c>
    </row>
    <row r="31" spans="1:3" x14ac:dyDescent="0.55000000000000004">
      <c r="A31" s="36" t="s">
        <v>233</v>
      </c>
      <c r="B31" s="39" t="s">
        <v>224</v>
      </c>
      <c r="C31" s="40" t="s">
        <v>226</v>
      </c>
    </row>
    <row r="32" spans="1:3" x14ac:dyDescent="0.55000000000000004">
      <c r="A32" s="36" t="s">
        <v>234</v>
      </c>
      <c r="B32" s="39" t="s">
        <v>225</v>
      </c>
      <c r="C32" s="41" t="s">
        <v>228</v>
      </c>
    </row>
    <row r="34" spans="1:3" x14ac:dyDescent="0.55000000000000004">
      <c r="A34" s="91" t="s">
        <v>46</v>
      </c>
      <c r="B34" s="92"/>
      <c r="C34" s="93"/>
    </row>
    <row r="35" spans="1:3" x14ac:dyDescent="0.55000000000000004">
      <c r="A35" s="11" t="s">
        <v>33</v>
      </c>
      <c r="B35" s="11" t="s">
        <v>46</v>
      </c>
      <c r="C35" s="11" t="s">
        <v>34</v>
      </c>
    </row>
    <row r="36" spans="1:3" x14ac:dyDescent="0.55000000000000004">
      <c r="A36" s="36" t="s">
        <v>230</v>
      </c>
      <c r="B36" t="s">
        <v>251</v>
      </c>
      <c r="C36" t="s">
        <v>250</v>
      </c>
    </row>
    <row r="37" spans="1:3" x14ac:dyDescent="0.55000000000000004">
      <c r="A37" s="36" t="s">
        <v>242</v>
      </c>
      <c r="B37" s="1" t="s">
        <v>235</v>
      </c>
      <c r="C37" s="1" t="s">
        <v>236</v>
      </c>
    </row>
    <row r="38" spans="1:3" x14ac:dyDescent="0.55000000000000004">
      <c r="A38" s="36" t="s">
        <v>243</v>
      </c>
      <c r="B38" s="1" t="s">
        <v>241</v>
      </c>
      <c r="C38" s="1" t="s">
        <v>237</v>
      </c>
    </row>
    <row r="39" spans="1:3" x14ac:dyDescent="0.55000000000000004">
      <c r="A39" s="36" t="s">
        <v>244</v>
      </c>
      <c r="B39" s="1" t="s">
        <v>240</v>
      </c>
      <c r="C39" s="1" t="s">
        <v>238</v>
      </c>
    </row>
    <row r="40" spans="1:3" x14ac:dyDescent="0.55000000000000004">
      <c r="A40" s="36" t="s">
        <v>245</v>
      </c>
      <c r="B40" s="1" t="s">
        <v>224</v>
      </c>
      <c r="C40" s="1" t="s">
        <v>239</v>
      </c>
    </row>
  </sheetData>
  <mergeCells count="6">
    <mergeCell ref="A34:C34"/>
    <mergeCell ref="A2:C2"/>
    <mergeCell ref="A12:C12"/>
    <mergeCell ref="A1:C1"/>
    <mergeCell ref="A25:C25"/>
    <mergeCell ref="A26:C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opLeftCell="A26" workbookViewId="0">
      <selection activeCell="D47" sqref="D47"/>
    </sheetView>
  </sheetViews>
  <sheetFormatPr defaultRowHeight="14.4" x14ac:dyDescent="0.55000000000000004"/>
  <cols>
    <col min="1" max="1" width="28.47265625" style="14" customWidth="1"/>
    <col min="2" max="2" width="45.68359375" style="14" customWidth="1"/>
    <col min="3" max="3" width="31.89453125" style="14" customWidth="1"/>
    <col min="4" max="4" width="33.1015625" style="14" customWidth="1"/>
    <col min="5" max="5" width="53.26171875" customWidth="1"/>
    <col min="6" max="6" width="8.05078125" customWidth="1"/>
    <col min="7" max="9" width="8.83984375" hidden="1" customWidth="1"/>
    <col min="10" max="10" width="40.62890625" customWidth="1"/>
  </cols>
  <sheetData>
    <row r="1" spans="1:5" ht="14.4" customHeight="1" x14ac:dyDescent="0.55000000000000004">
      <c r="A1" s="89" t="s">
        <v>256</v>
      </c>
      <c r="B1" s="90"/>
      <c r="C1" s="90"/>
    </row>
    <row r="2" spans="1:5" ht="28.8" customHeight="1" x14ac:dyDescent="0.55000000000000004">
      <c r="A2" s="43" t="s">
        <v>198</v>
      </c>
      <c r="B2" s="83" t="s">
        <v>252</v>
      </c>
      <c r="C2" s="83"/>
      <c r="D2"/>
    </row>
    <row r="3" spans="1:5" ht="28.8" customHeight="1" x14ac:dyDescent="0.55000000000000004">
      <c r="A3" s="43" t="s">
        <v>199</v>
      </c>
      <c r="B3" s="83" t="s">
        <v>253</v>
      </c>
      <c r="C3" s="83"/>
      <c r="D3"/>
    </row>
    <row r="4" spans="1:5" ht="28.8" customHeight="1" x14ac:dyDescent="0.55000000000000004">
      <c r="A4" s="43" t="s">
        <v>200</v>
      </c>
      <c r="B4" s="83" t="s">
        <v>254</v>
      </c>
      <c r="C4" s="83"/>
      <c r="D4"/>
    </row>
    <row r="5" spans="1:5" ht="43.2" customHeight="1" x14ac:dyDescent="0.55000000000000004">
      <c r="A5" s="43" t="s">
        <v>201</v>
      </c>
      <c r="B5" s="83" t="s">
        <v>255</v>
      </c>
      <c r="C5" s="83"/>
      <c r="D5"/>
    </row>
    <row r="6" spans="1:5" ht="15.6" x14ac:dyDescent="0.55000000000000004">
      <c r="A6" s="34"/>
      <c r="B6"/>
      <c r="C6"/>
      <c r="D6"/>
      <c r="E6" s="35"/>
    </row>
    <row r="7" spans="1:5" x14ac:dyDescent="0.55000000000000004">
      <c r="A7" s="82" t="s">
        <v>257</v>
      </c>
      <c r="B7" s="82"/>
      <c r="C7" s="82"/>
      <c r="D7" s="82"/>
      <c r="E7" s="82"/>
    </row>
    <row r="8" spans="1:5" ht="15.6" x14ac:dyDescent="0.55000000000000004">
      <c r="A8" s="44" t="s">
        <v>186</v>
      </c>
      <c r="B8" s="44" t="s">
        <v>187</v>
      </c>
      <c r="C8" s="44" t="s">
        <v>188</v>
      </c>
      <c r="D8" s="85" t="s">
        <v>258</v>
      </c>
      <c r="E8" s="85"/>
    </row>
    <row r="9" spans="1:5" s="10" customFormat="1" ht="25.2" customHeight="1" x14ac:dyDescent="0.55000000000000004">
      <c r="A9" s="87" t="s">
        <v>189</v>
      </c>
      <c r="B9" s="88" t="s">
        <v>259</v>
      </c>
      <c r="C9" s="88" t="s">
        <v>190</v>
      </c>
      <c r="D9" s="84" t="s">
        <v>282</v>
      </c>
      <c r="E9" s="84"/>
    </row>
    <row r="10" spans="1:5" s="10" customFormat="1" ht="57.6" customHeight="1" x14ac:dyDescent="0.55000000000000004">
      <c r="A10" s="87"/>
      <c r="B10" s="88"/>
      <c r="C10" s="88"/>
      <c r="D10" s="80" t="s">
        <v>191</v>
      </c>
      <c r="E10" s="80"/>
    </row>
    <row r="11" spans="1:5" ht="46.8" x14ac:dyDescent="0.55000000000000004">
      <c r="A11" s="44" t="s">
        <v>192</v>
      </c>
      <c r="B11" s="33" t="s">
        <v>260</v>
      </c>
      <c r="C11" s="33" t="s">
        <v>193</v>
      </c>
      <c r="D11" s="80" t="s">
        <v>266</v>
      </c>
      <c r="E11" s="80"/>
    </row>
    <row r="12" spans="1:5" ht="33.9" customHeight="1" x14ac:dyDescent="0.55000000000000004">
      <c r="A12" s="44" t="s">
        <v>194</v>
      </c>
      <c r="B12" s="80" t="s">
        <v>261</v>
      </c>
      <c r="C12" s="80"/>
      <c r="D12" s="80"/>
      <c r="E12" s="80"/>
    </row>
    <row r="13" spans="1:5" ht="14.4" customHeight="1" x14ac:dyDescent="0.55000000000000004">
      <c r="A13" s="87" t="s">
        <v>195</v>
      </c>
      <c r="B13" s="88" t="s">
        <v>262</v>
      </c>
      <c r="C13" s="88" t="s">
        <v>263</v>
      </c>
      <c r="D13" s="80" t="s">
        <v>283</v>
      </c>
      <c r="E13" s="80"/>
    </row>
    <row r="14" spans="1:5" ht="86.4" customHeight="1" x14ac:dyDescent="0.55000000000000004">
      <c r="A14" s="87"/>
      <c r="B14" s="88"/>
      <c r="C14" s="88"/>
      <c r="D14" s="80"/>
      <c r="E14" s="80"/>
    </row>
    <row r="15" spans="1:5" ht="62.4" x14ac:dyDescent="0.55000000000000004">
      <c r="A15" s="44" t="s">
        <v>133</v>
      </c>
      <c r="B15" s="33" t="s">
        <v>264</v>
      </c>
      <c r="C15" s="33" t="s">
        <v>265</v>
      </c>
      <c r="D15" s="80" t="s">
        <v>284</v>
      </c>
      <c r="E15" s="80"/>
    </row>
    <row r="17" spans="1:9" x14ac:dyDescent="0.55000000000000004">
      <c r="A17" s="81" t="s">
        <v>267</v>
      </c>
      <c r="B17" s="81"/>
      <c r="C17" s="81"/>
      <c r="D17" s="81"/>
    </row>
    <row r="18" spans="1:9" ht="28.5" customHeight="1" x14ac:dyDescent="0.55000000000000004">
      <c r="A18" s="9" t="s">
        <v>31</v>
      </c>
      <c r="B18" s="86" t="s">
        <v>196</v>
      </c>
      <c r="C18" s="86"/>
      <c r="D18" s="86"/>
    </row>
    <row r="19" spans="1:9" ht="114.9" customHeight="1" x14ac:dyDescent="0.55000000000000004">
      <c r="A19" s="9" t="s">
        <v>185</v>
      </c>
      <c r="B19" s="86" t="s">
        <v>197</v>
      </c>
      <c r="C19" s="86"/>
      <c r="D19" s="86"/>
    </row>
    <row r="20" spans="1:9" x14ac:dyDescent="0.55000000000000004">
      <c r="B20" s="10"/>
      <c r="D20" s="15"/>
    </row>
    <row r="22" spans="1:9" x14ac:dyDescent="0.55000000000000004">
      <c r="A22" s="81" t="s">
        <v>268</v>
      </c>
      <c r="B22" s="81"/>
      <c r="C22" s="81"/>
      <c r="D22" s="81"/>
      <c r="E22" s="81"/>
    </row>
    <row r="23" spans="1:9" x14ac:dyDescent="0.55000000000000004">
      <c r="B23" s="82" t="s">
        <v>31</v>
      </c>
      <c r="C23" s="82"/>
      <c r="D23" s="82"/>
      <c r="E23" s="82"/>
    </row>
    <row r="24" spans="1:9" x14ac:dyDescent="0.55000000000000004">
      <c r="A24" s="49" t="s">
        <v>269</v>
      </c>
      <c r="B24" s="49" t="s">
        <v>270</v>
      </c>
      <c r="C24" s="49" t="s">
        <v>271</v>
      </c>
      <c r="D24" s="49" t="s">
        <v>272</v>
      </c>
      <c r="E24" s="49" t="s">
        <v>273</v>
      </c>
    </row>
    <row r="25" spans="1:9" x14ac:dyDescent="0.55000000000000004">
      <c r="A25" s="45" t="s">
        <v>274</v>
      </c>
      <c r="B25" s="47">
        <v>57</v>
      </c>
      <c r="C25" s="47">
        <v>41</v>
      </c>
      <c r="D25" s="47">
        <v>18</v>
      </c>
      <c r="E25" s="47">
        <v>8</v>
      </c>
    </row>
    <row r="26" spans="1:9" x14ac:dyDescent="0.55000000000000004">
      <c r="A26" s="48" t="s">
        <v>281</v>
      </c>
      <c r="B26" s="47">
        <v>1106</v>
      </c>
      <c r="C26" s="47">
        <v>30</v>
      </c>
      <c r="D26" s="47">
        <v>5</v>
      </c>
      <c r="E26" s="47">
        <v>3</v>
      </c>
    </row>
    <row r="27" spans="1:9" x14ac:dyDescent="0.55000000000000004">
      <c r="A27" s="48" t="s">
        <v>275</v>
      </c>
      <c r="B27" s="47">
        <v>9</v>
      </c>
      <c r="C27" s="47">
        <v>9</v>
      </c>
      <c r="D27" s="47">
        <v>0</v>
      </c>
      <c r="E27" s="47">
        <v>0</v>
      </c>
    </row>
    <row r="28" spans="1:9" x14ac:dyDescent="0.55000000000000004">
      <c r="A28" s="48" t="s">
        <v>276</v>
      </c>
      <c r="B28" s="47">
        <v>6685</v>
      </c>
      <c r="C28" s="47">
        <v>1</v>
      </c>
      <c r="D28" s="47">
        <v>0</v>
      </c>
      <c r="E28" s="47">
        <v>0</v>
      </c>
    </row>
    <row r="29" spans="1:9" x14ac:dyDescent="0.55000000000000004">
      <c r="A29" s="48" t="s">
        <v>277</v>
      </c>
      <c r="B29" s="47">
        <v>4955</v>
      </c>
      <c r="C29" s="47">
        <v>7</v>
      </c>
      <c r="D29" s="47">
        <v>4</v>
      </c>
      <c r="E29" s="47">
        <v>4</v>
      </c>
    </row>
    <row r="30" spans="1:9" x14ac:dyDescent="0.55000000000000004">
      <c r="A30" s="48" t="s">
        <v>278</v>
      </c>
      <c r="B30" s="47">
        <f>SUM(B25:B29)</f>
        <v>12812</v>
      </c>
      <c r="C30" s="47">
        <f>SUM(C25:C29)</f>
        <v>88</v>
      </c>
      <c r="D30" s="47">
        <f>SUM(D25:D29)</f>
        <v>27</v>
      </c>
      <c r="E30" s="50">
        <f>SUM(E25:E29)</f>
        <v>15</v>
      </c>
    </row>
    <row r="32" spans="1:9" x14ac:dyDescent="0.55000000000000004">
      <c r="B32" s="82" t="s">
        <v>185</v>
      </c>
      <c r="C32" s="82"/>
      <c r="D32" s="82"/>
      <c r="E32" s="82"/>
      <c r="F32" s="14"/>
      <c r="G32" s="14"/>
      <c r="H32" s="14"/>
      <c r="I32" s="14"/>
    </row>
    <row r="33" spans="1:10" x14ac:dyDescent="0.55000000000000004">
      <c r="A33" s="49" t="s">
        <v>285</v>
      </c>
      <c r="B33" s="49" t="s">
        <v>270</v>
      </c>
      <c r="C33" s="49" t="s">
        <v>273</v>
      </c>
      <c r="D33" s="49" t="s">
        <v>287</v>
      </c>
      <c r="E33" s="49" t="s">
        <v>279</v>
      </c>
      <c r="F33" s="14"/>
      <c r="G33" s="14"/>
      <c r="H33" s="14"/>
      <c r="I33" s="14"/>
    </row>
    <row r="34" spans="1:10" ht="28.8" x14ac:dyDescent="0.55000000000000004">
      <c r="A34" s="48" t="s">
        <v>288</v>
      </c>
      <c r="B34" s="46">
        <v>765</v>
      </c>
      <c r="C34" s="46">
        <v>16</v>
      </c>
      <c r="D34" s="46">
        <v>16</v>
      </c>
      <c r="E34" s="46">
        <v>8</v>
      </c>
      <c r="F34" s="14"/>
      <c r="G34" s="14"/>
      <c r="H34" s="14"/>
      <c r="I34" s="14"/>
    </row>
    <row r="35" spans="1:10" ht="115.2" x14ac:dyDescent="0.55000000000000004">
      <c r="A35" s="48" t="s">
        <v>286</v>
      </c>
      <c r="B35" s="46">
        <v>5</v>
      </c>
      <c r="C35" s="46">
        <v>5</v>
      </c>
      <c r="D35" s="46">
        <v>0</v>
      </c>
      <c r="E35" s="46">
        <v>0</v>
      </c>
      <c r="F35" s="14"/>
      <c r="G35" s="14"/>
      <c r="H35" s="14"/>
      <c r="I35" s="14"/>
      <c r="J35" s="68"/>
    </row>
    <row r="36" spans="1:10" x14ac:dyDescent="0.55000000000000004">
      <c r="A36" s="51" t="s">
        <v>280</v>
      </c>
      <c r="B36" s="46">
        <v>12</v>
      </c>
      <c r="C36" s="46">
        <v>5</v>
      </c>
      <c r="D36" s="46">
        <v>0</v>
      </c>
      <c r="E36" s="46">
        <v>0</v>
      </c>
      <c r="F36" s="14"/>
      <c r="G36" s="14"/>
      <c r="H36" s="14"/>
      <c r="I36" s="14"/>
    </row>
    <row r="37" spans="1:10" x14ac:dyDescent="0.55000000000000004">
      <c r="A37" s="48" t="s">
        <v>278</v>
      </c>
      <c r="B37" s="47">
        <f>SUM(B34:B36)</f>
        <v>782</v>
      </c>
      <c r="C37" s="47">
        <f t="shared" ref="C37:E37" si="0">SUM(C34:C36)</f>
        <v>26</v>
      </c>
      <c r="D37" s="47">
        <f t="shared" si="0"/>
        <v>16</v>
      </c>
      <c r="E37" s="50">
        <f t="shared" si="0"/>
        <v>8</v>
      </c>
    </row>
    <row r="38" spans="1:10" x14ac:dyDescent="0.55000000000000004">
      <c r="B38"/>
      <c r="C38"/>
      <c r="D38"/>
    </row>
    <row r="39" spans="1:10" x14ac:dyDescent="0.55000000000000004">
      <c r="B39"/>
      <c r="C39"/>
      <c r="D39"/>
    </row>
    <row r="40" spans="1:10" x14ac:dyDescent="0.55000000000000004">
      <c r="B40" s="10"/>
      <c r="C40"/>
      <c r="D40"/>
    </row>
    <row r="41" spans="1:10" x14ac:dyDescent="0.55000000000000004">
      <c r="B41" s="10"/>
      <c r="C41"/>
      <c r="D41"/>
    </row>
    <row r="42" spans="1:10" x14ac:dyDescent="0.55000000000000004">
      <c r="B42"/>
      <c r="C42"/>
      <c r="D42"/>
    </row>
    <row r="43" spans="1:10" x14ac:dyDescent="0.55000000000000004">
      <c r="B43"/>
      <c r="C43"/>
      <c r="D43"/>
    </row>
  </sheetData>
  <mergeCells count="25">
    <mergeCell ref="C13:C14"/>
    <mergeCell ref="B12:E12"/>
    <mergeCell ref="D13:E14"/>
    <mergeCell ref="A1:C1"/>
    <mergeCell ref="A7:E7"/>
    <mergeCell ref="D11:E11"/>
    <mergeCell ref="A9:A10"/>
    <mergeCell ref="B9:B10"/>
    <mergeCell ref="C9:C10"/>
    <mergeCell ref="D15:E15"/>
    <mergeCell ref="A22:E22"/>
    <mergeCell ref="B23:E23"/>
    <mergeCell ref="B32:E32"/>
    <mergeCell ref="B2:C2"/>
    <mergeCell ref="B3:C3"/>
    <mergeCell ref="B4:C4"/>
    <mergeCell ref="B5:C5"/>
    <mergeCell ref="D9:E9"/>
    <mergeCell ref="D10:E10"/>
    <mergeCell ref="D8:E8"/>
    <mergeCell ref="A17:D17"/>
    <mergeCell ref="B18:D18"/>
    <mergeCell ref="B19:D19"/>
    <mergeCell ref="A13:A14"/>
    <mergeCell ref="B13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workbookViewId="0">
      <selection activeCell="G41" sqref="G41"/>
    </sheetView>
  </sheetViews>
  <sheetFormatPr defaultRowHeight="12.6" x14ac:dyDescent="0.45"/>
  <cols>
    <col min="1" max="1" width="54.26171875" style="22" customWidth="1"/>
    <col min="2" max="2" width="6" style="22" customWidth="1"/>
    <col min="3" max="11" width="4.1015625" style="22" bestFit="1" customWidth="1"/>
    <col min="12" max="14" width="5.1015625" style="22" bestFit="1" customWidth="1"/>
    <col min="15" max="15" width="5.5234375" style="22" customWidth="1"/>
    <col min="16" max="16" width="6.89453125" style="22" customWidth="1"/>
    <col min="17" max="17" width="1.83984375" style="22" customWidth="1"/>
    <col min="18" max="18" width="5.68359375" style="22" customWidth="1"/>
    <col min="19" max="19" width="11.7890625" style="22" customWidth="1"/>
    <col min="20" max="20" width="83.734375" style="23" customWidth="1"/>
    <col min="21" max="21" width="39.20703125" style="22" customWidth="1"/>
    <col min="22" max="16384" width="8.83984375" style="22"/>
  </cols>
  <sheetData>
    <row r="1" spans="1:20" x14ac:dyDescent="0.45">
      <c r="A1" s="94" t="s">
        <v>31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6"/>
    </row>
    <row r="2" spans="1:20" x14ac:dyDescent="0.45">
      <c r="A2" s="97" t="s">
        <v>63</v>
      </c>
      <c r="B2" s="97" t="s">
        <v>33</v>
      </c>
      <c r="C2" s="98" t="s">
        <v>64</v>
      </c>
      <c r="D2" s="99"/>
      <c r="E2" s="99"/>
      <c r="F2" s="99"/>
      <c r="G2" s="99"/>
      <c r="H2" s="99"/>
      <c r="I2" s="99"/>
      <c r="J2" s="99"/>
      <c r="K2" s="99"/>
      <c r="L2" s="99"/>
      <c r="M2" s="99"/>
      <c r="N2" s="100"/>
      <c r="O2" s="101" t="s">
        <v>65</v>
      </c>
      <c r="P2" s="101" t="s">
        <v>66</v>
      </c>
    </row>
    <row r="3" spans="1:20" x14ac:dyDescent="0.45">
      <c r="A3" s="97"/>
      <c r="B3" s="97"/>
      <c r="C3" s="16" t="s">
        <v>67</v>
      </c>
      <c r="D3" s="16" t="s">
        <v>68</v>
      </c>
      <c r="E3" s="16" t="s">
        <v>69</v>
      </c>
      <c r="F3" s="16" t="s">
        <v>70</v>
      </c>
      <c r="G3" s="16" t="s">
        <v>71</v>
      </c>
      <c r="H3" s="16" t="s">
        <v>72</v>
      </c>
      <c r="I3" s="16" t="s">
        <v>73</v>
      </c>
      <c r="J3" s="16" t="s">
        <v>74</v>
      </c>
      <c r="K3" s="16" t="s">
        <v>75</v>
      </c>
      <c r="L3" s="16" t="s">
        <v>76</v>
      </c>
      <c r="M3" s="16" t="s">
        <v>77</v>
      </c>
      <c r="N3" s="16" t="s">
        <v>78</v>
      </c>
      <c r="O3" s="101"/>
      <c r="P3" s="101"/>
      <c r="R3" s="16" t="s">
        <v>79</v>
      </c>
      <c r="S3" s="16" t="s">
        <v>80</v>
      </c>
      <c r="T3" s="21" t="s">
        <v>31</v>
      </c>
    </row>
    <row r="4" spans="1:20" ht="25.2" x14ac:dyDescent="0.45">
      <c r="A4" s="19" t="s">
        <v>81</v>
      </c>
      <c r="B4" s="24" t="s">
        <v>162</v>
      </c>
      <c r="C4" s="29">
        <v>1</v>
      </c>
      <c r="D4" s="29">
        <v>1</v>
      </c>
      <c r="E4" s="29">
        <v>1</v>
      </c>
      <c r="F4" s="29">
        <v>1</v>
      </c>
      <c r="G4" s="29">
        <v>1</v>
      </c>
      <c r="H4" s="29">
        <v>1</v>
      </c>
      <c r="I4" s="29">
        <v>0.5</v>
      </c>
      <c r="J4" s="29">
        <v>1</v>
      </c>
      <c r="K4" s="29">
        <v>1</v>
      </c>
      <c r="L4" s="29">
        <v>0</v>
      </c>
      <c r="M4" s="29">
        <v>1</v>
      </c>
      <c r="N4" s="29">
        <v>1</v>
      </c>
      <c r="O4" s="24">
        <f>SUM(C4:N4)</f>
        <v>10.5</v>
      </c>
      <c r="P4" s="24">
        <f>(O4/12)*100</f>
        <v>87.5</v>
      </c>
      <c r="R4" s="21" t="s">
        <v>67</v>
      </c>
      <c r="S4" s="31" t="s">
        <v>82</v>
      </c>
      <c r="T4" s="32" t="s">
        <v>83</v>
      </c>
    </row>
    <row r="5" spans="1:20" ht="25.2" x14ac:dyDescent="0.45">
      <c r="A5" s="19" t="s">
        <v>84</v>
      </c>
      <c r="B5" s="24" t="s">
        <v>163</v>
      </c>
      <c r="C5" s="29">
        <v>1</v>
      </c>
      <c r="D5" s="29">
        <v>1</v>
      </c>
      <c r="E5" s="29">
        <v>1</v>
      </c>
      <c r="F5" s="29">
        <v>1</v>
      </c>
      <c r="G5" s="29">
        <v>1</v>
      </c>
      <c r="H5" s="29">
        <v>1</v>
      </c>
      <c r="I5" s="29">
        <v>1</v>
      </c>
      <c r="J5" s="29">
        <v>1</v>
      </c>
      <c r="K5" s="29">
        <v>1</v>
      </c>
      <c r="L5" s="29">
        <v>0</v>
      </c>
      <c r="M5" s="29">
        <v>1</v>
      </c>
      <c r="N5" s="29">
        <v>1</v>
      </c>
      <c r="O5" s="24">
        <f>SUM(C5:N5)</f>
        <v>11</v>
      </c>
      <c r="P5" s="24">
        <f t="shared" ref="P5:P18" si="0">(O5/12)*100</f>
        <v>91.666666666666657</v>
      </c>
      <c r="R5" s="21" t="s">
        <v>68</v>
      </c>
      <c r="S5" s="31" t="s">
        <v>82</v>
      </c>
      <c r="T5" s="32" t="s">
        <v>85</v>
      </c>
    </row>
    <row r="6" spans="1:20" ht="25.2" x14ac:dyDescent="0.45">
      <c r="A6" s="19" t="s">
        <v>86</v>
      </c>
      <c r="B6" s="24" t="s">
        <v>164</v>
      </c>
      <c r="C6" s="29">
        <v>1</v>
      </c>
      <c r="D6" s="29">
        <v>1</v>
      </c>
      <c r="E6" s="29">
        <v>1</v>
      </c>
      <c r="F6" s="29">
        <v>1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0</v>
      </c>
      <c r="M6" s="29">
        <v>1</v>
      </c>
      <c r="N6" s="29">
        <v>1</v>
      </c>
      <c r="O6" s="24">
        <f t="shared" ref="O6:O18" si="1">SUM(C6:N6)</f>
        <v>11</v>
      </c>
      <c r="P6" s="24">
        <f t="shared" si="0"/>
        <v>91.666666666666657</v>
      </c>
      <c r="R6" s="21" t="s">
        <v>69</v>
      </c>
      <c r="S6" s="31" t="s">
        <v>87</v>
      </c>
      <c r="T6" s="32" t="s">
        <v>88</v>
      </c>
    </row>
    <row r="7" spans="1:20" ht="25.2" x14ac:dyDescent="0.45">
      <c r="A7" s="25" t="s">
        <v>89</v>
      </c>
      <c r="B7" s="24" t="s">
        <v>165</v>
      </c>
      <c r="C7" s="29">
        <v>1</v>
      </c>
      <c r="D7" s="29">
        <v>1</v>
      </c>
      <c r="E7" s="29">
        <v>1</v>
      </c>
      <c r="F7" s="29">
        <v>1</v>
      </c>
      <c r="G7" s="29">
        <v>1</v>
      </c>
      <c r="H7" s="29">
        <v>1</v>
      </c>
      <c r="I7" s="29">
        <v>1</v>
      </c>
      <c r="J7" s="29">
        <v>1</v>
      </c>
      <c r="K7" s="29">
        <v>1</v>
      </c>
      <c r="L7" s="29">
        <v>0</v>
      </c>
      <c r="M7" s="29">
        <v>1</v>
      </c>
      <c r="N7" s="29">
        <v>1</v>
      </c>
      <c r="O7" s="24">
        <f t="shared" si="1"/>
        <v>11</v>
      </c>
      <c r="P7" s="24">
        <f t="shared" si="0"/>
        <v>91.666666666666657</v>
      </c>
      <c r="R7" s="21" t="s">
        <v>70</v>
      </c>
      <c r="S7" s="31" t="s">
        <v>90</v>
      </c>
      <c r="T7" s="32" t="s">
        <v>91</v>
      </c>
    </row>
    <row r="8" spans="1:20" ht="25.2" x14ac:dyDescent="0.45">
      <c r="A8" s="25" t="s">
        <v>92</v>
      </c>
      <c r="B8" s="24" t="s">
        <v>166</v>
      </c>
      <c r="C8" s="29">
        <v>1</v>
      </c>
      <c r="D8" s="29">
        <v>1</v>
      </c>
      <c r="E8" s="29">
        <v>1</v>
      </c>
      <c r="F8" s="29">
        <v>1</v>
      </c>
      <c r="G8" s="29">
        <v>1</v>
      </c>
      <c r="H8" s="29">
        <v>1</v>
      </c>
      <c r="I8" s="29">
        <v>1</v>
      </c>
      <c r="J8" s="29">
        <v>1</v>
      </c>
      <c r="K8" s="29">
        <v>1</v>
      </c>
      <c r="L8" s="29">
        <v>0</v>
      </c>
      <c r="M8" s="29">
        <v>1</v>
      </c>
      <c r="N8" s="29">
        <v>1</v>
      </c>
      <c r="O8" s="24">
        <f t="shared" si="1"/>
        <v>11</v>
      </c>
      <c r="P8" s="24">
        <f t="shared" si="0"/>
        <v>91.666666666666657</v>
      </c>
      <c r="R8" s="21" t="s">
        <v>71</v>
      </c>
      <c r="S8" s="31" t="s">
        <v>90</v>
      </c>
      <c r="T8" s="32" t="s">
        <v>93</v>
      </c>
    </row>
    <row r="9" spans="1:20" ht="25.2" x14ac:dyDescent="0.45">
      <c r="A9" s="25" t="s">
        <v>94</v>
      </c>
      <c r="B9" s="24" t="s">
        <v>167</v>
      </c>
      <c r="C9" s="29">
        <v>1</v>
      </c>
      <c r="D9" s="29">
        <v>1</v>
      </c>
      <c r="E9" s="29">
        <v>1</v>
      </c>
      <c r="F9" s="29">
        <v>1</v>
      </c>
      <c r="G9" s="29">
        <v>1</v>
      </c>
      <c r="H9" s="29">
        <v>1</v>
      </c>
      <c r="I9" s="29">
        <v>1</v>
      </c>
      <c r="J9" s="29">
        <v>1</v>
      </c>
      <c r="K9" s="29">
        <v>1</v>
      </c>
      <c r="L9" s="29">
        <v>0</v>
      </c>
      <c r="M9" s="29">
        <v>1</v>
      </c>
      <c r="N9" s="29">
        <v>1</v>
      </c>
      <c r="O9" s="24">
        <f t="shared" si="1"/>
        <v>11</v>
      </c>
      <c r="P9" s="24">
        <f t="shared" si="0"/>
        <v>91.666666666666657</v>
      </c>
      <c r="R9" s="21" t="s">
        <v>72</v>
      </c>
      <c r="S9" s="31" t="s">
        <v>95</v>
      </c>
      <c r="T9" s="32" t="s">
        <v>96</v>
      </c>
    </row>
    <row r="10" spans="1:20" ht="25.2" x14ac:dyDescent="0.45">
      <c r="A10" s="25" t="s">
        <v>97</v>
      </c>
      <c r="B10" s="24" t="s">
        <v>168</v>
      </c>
      <c r="C10" s="29">
        <v>1</v>
      </c>
      <c r="D10" s="29">
        <v>1</v>
      </c>
      <c r="E10" s="29">
        <v>1</v>
      </c>
      <c r="F10" s="29">
        <v>1</v>
      </c>
      <c r="G10" s="29">
        <v>1</v>
      </c>
      <c r="H10" s="29">
        <v>1</v>
      </c>
      <c r="I10" s="29">
        <v>0.5</v>
      </c>
      <c r="J10" s="29">
        <v>1</v>
      </c>
      <c r="K10" s="29">
        <v>1</v>
      </c>
      <c r="L10" s="29">
        <v>0</v>
      </c>
      <c r="M10" s="29">
        <v>1</v>
      </c>
      <c r="N10" s="29">
        <v>1</v>
      </c>
      <c r="O10" s="24">
        <f t="shared" si="1"/>
        <v>10.5</v>
      </c>
      <c r="P10" s="24">
        <f t="shared" si="0"/>
        <v>87.5</v>
      </c>
      <c r="R10" s="21" t="s">
        <v>73</v>
      </c>
      <c r="S10" s="31" t="s">
        <v>98</v>
      </c>
      <c r="T10" s="32" t="s">
        <v>99</v>
      </c>
    </row>
    <row r="11" spans="1:20" ht="25.2" x14ac:dyDescent="0.45">
      <c r="A11" s="25" t="s">
        <v>100</v>
      </c>
      <c r="B11" s="24" t="s">
        <v>169</v>
      </c>
      <c r="C11" s="29">
        <v>1</v>
      </c>
      <c r="D11" s="29">
        <v>1</v>
      </c>
      <c r="E11" s="29">
        <v>1</v>
      </c>
      <c r="F11" s="29">
        <v>1</v>
      </c>
      <c r="G11" s="29">
        <v>1</v>
      </c>
      <c r="H11" s="29">
        <v>1</v>
      </c>
      <c r="I11" s="29">
        <v>0.5</v>
      </c>
      <c r="J11" s="29">
        <v>1</v>
      </c>
      <c r="K11" s="29">
        <v>1</v>
      </c>
      <c r="L11" s="30">
        <v>0</v>
      </c>
      <c r="M11" s="29">
        <v>1</v>
      </c>
      <c r="N11" s="29">
        <v>1</v>
      </c>
      <c r="O11" s="24">
        <f t="shared" si="1"/>
        <v>10.5</v>
      </c>
      <c r="P11" s="24">
        <f t="shared" si="0"/>
        <v>87.5</v>
      </c>
      <c r="R11" s="21" t="s">
        <v>74</v>
      </c>
      <c r="S11" s="31" t="s">
        <v>101</v>
      </c>
      <c r="T11" s="32" t="s">
        <v>102</v>
      </c>
    </row>
    <row r="12" spans="1:20" ht="25.2" x14ac:dyDescent="0.45">
      <c r="A12" s="25" t="s">
        <v>103</v>
      </c>
      <c r="B12" s="24" t="s">
        <v>170</v>
      </c>
      <c r="C12" s="29">
        <v>1</v>
      </c>
      <c r="D12" s="29">
        <v>1</v>
      </c>
      <c r="E12" s="29">
        <v>1</v>
      </c>
      <c r="F12" s="29">
        <v>1</v>
      </c>
      <c r="G12" s="29">
        <v>1</v>
      </c>
      <c r="H12" s="29">
        <v>1</v>
      </c>
      <c r="I12" s="29">
        <v>1</v>
      </c>
      <c r="J12" s="29">
        <v>1</v>
      </c>
      <c r="K12" s="29">
        <v>1</v>
      </c>
      <c r="L12" s="30">
        <v>1</v>
      </c>
      <c r="M12" s="29">
        <v>1</v>
      </c>
      <c r="N12" s="29">
        <v>1</v>
      </c>
      <c r="O12" s="24">
        <f t="shared" si="1"/>
        <v>12</v>
      </c>
      <c r="P12" s="24">
        <f t="shared" si="0"/>
        <v>100</v>
      </c>
      <c r="R12" s="21" t="s">
        <v>75</v>
      </c>
      <c r="S12" s="31" t="s">
        <v>101</v>
      </c>
      <c r="T12" s="32" t="s">
        <v>104</v>
      </c>
    </row>
    <row r="13" spans="1:20" x14ac:dyDescent="0.45">
      <c r="A13" s="25" t="s">
        <v>105</v>
      </c>
      <c r="B13" s="24" t="s">
        <v>171</v>
      </c>
      <c r="C13" s="29">
        <v>1</v>
      </c>
      <c r="D13" s="29">
        <v>1</v>
      </c>
      <c r="E13" s="29">
        <v>1</v>
      </c>
      <c r="F13" s="29">
        <v>1</v>
      </c>
      <c r="G13" s="29">
        <v>1</v>
      </c>
      <c r="H13" s="29">
        <v>1</v>
      </c>
      <c r="I13" s="29">
        <v>0.5</v>
      </c>
      <c r="J13" s="29">
        <v>1</v>
      </c>
      <c r="K13" s="29">
        <v>1</v>
      </c>
      <c r="L13" s="30">
        <v>1</v>
      </c>
      <c r="M13" s="29">
        <v>1</v>
      </c>
      <c r="N13" s="29">
        <v>1</v>
      </c>
      <c r="O13" s="24">
        <f t="shared" si="1"/>
        <v>11.5</v>
      </c>
      <c r="P13" s="24">
        <f t="shared" si="0"/>
        <v>95.833333333333343</v>
      </c>
      <c r="R13" s="21" t="s">
        <v>76</v>
      </c>
      <c r="S13" s="31" t="s">
        <v>106</v>
      </c>
      <c r="T13" s="32" t="s">
        <v>107</v>
      </c>
    </row>
    <row r="14" spans="1:20" ht="25.2" x14ac:dyDescent="0.45">
      <c r="A14" s="25" t="s">
        <v>108</v>
      </c>
      <c r="B14" s="24" t="s">
        <v>172</v>
      </c>
      <c r="C14" s="29">
        <v>1</v>
      </c>
      <c r="D14" s="29">
        <v>1</v>
      </c>
      <c r="E14" s="29">
        <v>1</v>
      </c>
      <c r="F14" s="29">
        <v>1</v>
      </c>
      <c r="G14" s="29">
        <v>1</v>
      </c>
      <c r="H14" s="29">
        <v>1</v>
      </c>
      <c r="I14" s="29">
        <v>1</v>
      </c>
      <c r="J14" s="29">
        <v>1</v>
      </c>
      <c r="K14" s="29">
        <v>1</v>
      </c>
      <c r="L14" s="30">
        <v>1</v>
      </c>
      <c r="M14" s="29">
        <v>1</v>
      </c>
      <c r="N14" s="29">
        <v>1</v>
      </c>
      <c r="O14" s="24">
        <f t="shared" si="1"/>
        <v>12</v>
      </c>
      <c r="P14" s="24">
        <f t="shared" si="0"/>
        <v>100</v>
      </c>
      <c r="R14" s="21" t="s">
        <v>77</v>
      </c>
      <c r="S14" s="31" t="s">
        <v>109</v>
      </c>
      <c r="T14" s="32" t="s">
        <v>110</v>
      </c>
    </row>
    <row r="15" spans="1:20" ht="25.2" x14ac:dyDescent="0.45">
      <c r="A15" s="25" t="s">
        <v>111</v>
      </c>
      <c r="B15" s="24" t="s">
        <v>173</v>
      </c>
      <c r="C15" s="29">
        <v>1</v>
      </c>
      <c r="D15" s="29">
        <v>1</v>
      </c>
      <c r="E15" s="29">
        <v>1</v>
      </c>
      <c r="F15" s="29">
        <v>1</v>
      </c>
      <c r="G15" s="29">
        <v>1</v>
      </c>
      <c r="H15" s="29">
        <v>1</v>
      </c>
      <c r="I15" s="29">
        <v>1</v>
      </c>
      <c r="J15" s="29">
        <v>1</v>
      </c>
      <c r="K15" s="29">
        <v>1</v>
      </c>
      <c r="L15" s="30">
        <v>0</v>
      </c>
      <c r="M15" s="29">
        <v>1</v>
      </c>
      <c r="N15" s="29">
        <v>1</v>
      </c>
      <c r="O15" s="24">
        <f t="shared" si="1"/>
        <v>11</v>
      </c>
      <c r="P15" s="24">
        <f t="shared" si="0"/>
        <v>91.666666666666657</v>
      </c>
      <c r="R15" s="21" t="s">
        <v>78</v>
      </c>
      <c r="S15" s="31" t="s">
        <v>112</v>
      </c>
      <c r="T15" s="32" t="s">
        <v>113</v>
      </c>
    </row>
    <row r="16" spans="1:20" ht="25.2" x14ac:dyDescent="0.45">
      <c r="A16" s="25" t="s">
        <v>114</v>
      </c>
      <c r="B16" s="24" t="s">
        <v>174</v>
      </c>
      <c r="C16" s="29">
        <v>1</v>
      </c>
      <c r="D16" s="29">
        <v>1</v>
      </c>
      <c r="E16" s="29">
        <v>1</v>
      </c>
      <c r="F16" s="29">
        <v>1</v>
      </c>
      <c r="G16" s="29">
        <v>1</v>
      </c>
      <c r="H16" s="29">
        <v>1</v>
      </c>
      <c r="I16" s="29">
        <v>1</v>
      </c>
      <c r="J16" s="29">
        <v>1</v>
      </c>
      <c r="K16" s="29">
        <v>1</v>
      </c>
      <c r="L16" s="30">
        <v>1</v>
      </c>
      <c r="M16" s="29">
        <v>1</v>
      </c>
      <c r="N16" s="29">
        <v>1</v>
      </c>
      <c r="O16" s="24">
        <f t="shared" si="1"/>
        <v>12</v>
      </c>
      <c r="P16" s="24">
        <f t="shared" si="0"/>
        <v>100</v>
      </c>
    </row>
    <row r="17" spans="1:24" ht="25.2" x14ac:dyDescent="0.45">
      <c r="A17" s="25" t="s">
        <v>115</v>
      </c>
      <c r="B17" s="24" t="s">
        <v>175</v>
      </c>
      <c r="C17" s="29">
        <v>1</v>
      </c>
      <c r="D17" s="29">
        <v>1</v>
      </c>
      <c r="E17" s="29">
        <v>1</v>
      </c>
      <c r="F17" s="29">
        <v>1</v>
      </c>
      <c r="G17" s="29">
        <v>1</v>
      </c>
      <c r="H17" s="29">
        <v>1</v>
      </c>
      <c r="I17" s="29">
        <v>1</v>
      </c>
      <c r="J17" s="29">
        <v>1</v>
      </c>
      <c r="K17" s="29">
        <v>1</v>
      </c>
      <c r="L17" s="30">
        <v>1</v>
      </c>
      <c r="M17" s="29">
        <v>1</v>
      </c>
      <c r="N17" s="29">
        <v>1</v>
      </c>
      <c r="O17" s="24">
        <f t="shared" si="1"/>
        <v>12</v>
      </c>
      <c r="P17" s="24">
        <f t="shared" si="0"/>
        <v>100</v>
      </c>
      <c r="S17" s="16" t="s">
        <v>116</v>
      </c>
      <c r="T17" s="16" t="s">
        <v>117</v>
      </c>
    </row>
    <row r="18" spans="1:24" ht="25.2" x14ac:dyDescent="0.45">
      <c r="A18" s="25" t="s">
        <v>118</v>
      </c>
      <c r="B18" s="24" t="s">
        <v>176</v>
      </c>
      <c r="C18" s="29">
        <v>1</v>
      </c>
      <c r="D18" s="29">
        <v>1</v>
      </c>
      <c r="E18" s="29">
        <v>1</v>
      </c>
      <c r="F18" s="29">
        <v>1</v>
      </c>
      <c r="G18" s="29">
        <v>1</v>
      </c>
      <c r="H18" s="29">
        <v>1</v>
      </c>
      <c r="I18" s="29">
        <v>1</v>
      </c>
      <c r="J18" s="29">
        <v>1</v>
      </c>
      <c r="K18" s="29">
        <v>1</v>
      </c>
      <c r="L18" s="30">
        <v>1</v>
      </c>
      <c r="M18" s="29">
        <v>1</v>
      </c>
      <c r="N18" s="29">
        <v>1</v>
      </c>
      <c r="O18" s="24">
        <f t="shared" si="1"/>
        <v>12</v>
      </c>
      <c r="P18" s="24">
        <f t="shared" si="0"/>
        <v>100</v>
      </c>
      <c r="S18" s="21" t="s">
        <v>119</v>
      </c>
      <c r="T18" s="19" t="s">
        <v>120</v>
      </c>
    </row>
    <row r="19" spans="1:24" ht="25.2" x14ac:dyDescent="0.45">
      <c r="S19" s="21" t="s">
        <v>121</v>
      </c>
      <c r="T19" s="19" t="s">
        <v>122</v>
      </c>
    </row>
    <row r="20" spans="1:24" ht="25.2" x14ac:dyDescent="0.45">
      <c r="A20" s="94" t="s">
        <v>185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6"/>
      <c r="S20" s="21" t="s">
        <v>123</v>
      </c>
      <c r="T20" s="19" t="s">
        <v>124</v>
      </c>
    </row>
    <row r="21" spans="1:24" x14ac:dyDescent="0.45">
      <c r="A21" s="97" t="s">
        <v>125</v>
      </c>
      <c r="B21" s="97" t="s">
        <v>33</v>
      </c>
      <c r="C21" s="98" t="s">
        <v>64</v>
      </c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100"/>
      <c r="O21" s="101" t="s">
        <v>65</v>
      </c>
      <c r="P21" s="101" t="s">
        <v>126</v>
      </c>
      <c r="T21" s="26"/>
    </row>
    <row r="22" spans="1:24" x14ac:dyDescent="0.45">
      <c r="A22" s="97"/>
      <c r="B22" s="97"/>
      <c r="C22" s="16" t="s">
        <v>67</v>
      </c>
      <c r="D22" s="16" t="s">
        <v>68</v>
      </c>
      <c r="E22" s="16" t="s">
        <v>69</v>
      </c>
      <c r="F22" s="16" t="s">
        <v>70</v>
      </c>
      <c r="G22" s="16" t="s">
        <v>71</v>
      </c>
      <c r="H22" s="16" t="s">
        <v>72</v>
      </c>
      <c r="I22" s="16" t="s">
        <v>73</v>
      </c>
      <c r="J22" s="16" t="s">
        <v>74</v>
      </c>
      <c r="K22" s="16" t="s">
        <v>75</v>
      </c>
      <c r="L22" s="16" t="s">
        <v>76</v>
      </c>
      <c r="M22" s="16" t="s">
        <v>77</v>
      </c>
      <c r="N22" s="16" t="s">
        <v>78</v>
      </c>
      <c r="O22" s="101"/>
      <c r="P22" s="101"/>
      <c r="T22" s="22"/>
    </row>
    <row r="23" spans="1:24" ht="25.2" x14ac:dyDescent="0.45">
      <c r="A23" s="17" t="s">
        <v>127</v>
      </c>
      <c r="B23" s="27" t="s">
        <v>177</v>
      </c>
      <c r="C23" s="29">
        <v>1</v>
      </c>
      <c r="D23" s="29">
        <v>1</v>
      </c>
      <c r="E23" s="29">
        <v>1</v>
      </c>
      <c r="F23" s="29">
        <v>1</v>
      </c>
      <c r="G23" s="29">
        <v>1</v>
      </c>
      <c r="H23" s="29">
        <v>1</v>
      </c>
      <c r="I23" s="29">
        <v>1</v>
      </c>
      <c r="J23" s="29">
        <v>0.5</v>
      </c>
      <c r="K23" s="29">
        <v>1</v>
      </c>
      <c r="L23" s="29">
        <v>0.5</v>
      </c>
      <c r="M23" s="29">
        <v>0.5</v>
      </c>
      <c r="N23" s="29">
        <v>0.5</v>
      </c>
      <c r="O23" s="18">
        <f t="shared" ref="O23:O30" si="2">SUM(C23:N23)</f>
        <v>10</v>
      </c>
      <c r="P23" s="18">
        <f>(O23/12)*100</f>
        <v>83.333333333333343</v>
      </c>
      <c r="T23" s="22"/>
    </row>
    <row r="24" spans="1:24" ht="25.2" x14ac:dyDescent="0.45">
      <c r="A24" s="19" t="s">
        <v>128</v>
      </c>
      <c r="B24" s="27" t="s">
        <v>178</v>
      </c>
      <c r="C24" s="29">
        <v>1</v>
      </c>
      <c r="D24" s="29">
        <v>1</v>
      </c>
      <c r="E24" s="29">
        <v>1</v>
      </c>
      <c r="F24" s="29">
        <v>1</v>
      </c>
      <c r="G24" s="29">
        <v>1</v>
      </c>
      <c r="H24" s="29">
        <v>1</v>
      </c>
      <c r="I24" s="29">
        <v>1</v>
      </c>
      <c r="J24" s="29">
        <v>1</v>
      </c>
      <c r="K24" s="29">
        <v>1</v>
      </c>
      <c r="L24" s="29">
        <v>1</v>
      </c>
      <c r="M24" s="29">
        <v>0.5</v>
      </c>
      <c r="N24" s="29">
        <v>0.5</v>
      </c>
      <c r="O24" s="18">
        <f t="shared" si="2"/>
        <v>11</v>
      </c>
      <c r="P24" s="18">
        <f t="shared" ref="P24:P30" si="3">(O24/12)*100</f>
        <v>91.666666666666657</v>
      </c>
      <c r="R24" s="16" t="s">
        <v>79</v>
      </c>
      <c r="S24" s="16" t="s">
        <v>80</v>
      </c>
      <c r="T24" s="21" t="s">
        <v>185</v>
      </c>
      <c r="U24" s="28"/>
      <c r="V24" s="28"/>
      <c r="W24" s="28"/>
      <c r="X24" s="28"/>
    </row>
    <row r="25" spans="1:24" ht="25.2" x14ac:dyDescent="0.45">
      <c r="A25" s="17" t="s">
        <v>129</v>
      </c>
      <c r="B25" s="27" t="s">
        <v>179</v>
      </c>
      <c r="C25" s="29">
        <v>1</v>
      </c>
      <c r="D25" s="29">
        <v>1</v>
      </c>
      <c r="E25" s="29">
        <v>1</v>
      </c>
      <c r="F25" s="29">
        <v>1</v>
      </c>
      <c r="G25" s="29">
        <v>1</v>
      </c>
      <c r="H25" s="29">
        <v>1</v>
      </c>
      <c r="I25" s="29">
        <v>1</v>
      </c>
      <c r="J25" s="29">
        <v>0.5</v>
      </c>
      <c r="K25" s="29">
        <v>1</v>
      </c>
      <c r="L25" s="29">
        <v>1</v>
      </c>
      <c r="M25" s="29">
        <v>0.5</v>
      </c>
      <c r="N25" s="29">
        <v>0.5</v>
      </c>
      <c r="O25" s="18">
        <f t="shared" si="2"/>
        <v>10.5</v>
      </c>
      <c r="P25" s="18">
        <f t="shared" si="3"/>
        <v>87.5</v>
      </c>
      <c r="R25" s="21" t="s">
        <v>67</v>
      </c>
      <c r="S25" s="20" t="s">
        <v>130</v>
      </c>
      <c r="T25" s="20" t="s">
        <v>131</v>
      </c>
      <c r="U25" s="28"/>
      <c r="V25" s="28"/>
      <c r="W25" s="28"/>
      <c r="X25" s="28"/>
    </row>
    <row r="26" spans="1:24" ht="25.2" x14ac:dyDescent="0.45">
      <c r="A26" s="17" t="s">
        <v>132</v>
      </c>
      <c r="B26" s="27" t="s">
        <v>180</v>
      </c>
      <c r="C26" s="29">
        <v>1</v>
      </c>
      <c r="D26" s="29">
        <v>1</v>
      </c>
      <c r="E26" s="29">
        <v>1</v>
      </c>
      <c r="F26" s="29">
        <v>1</v>
      </c>
      <c r="G26" s="29">
        <v>0.5</v>
      </c>
      <c r="H26" s="29">
        <v>0</v>
      </c>
      <c r="I26" s="29">
        <v>0</v>
      </c>
      <c r="J26" s="29">
        <v>0.5</v>
      </c>
      <c r="K26" s="29">
        <v>0</v>
      </c>
      <c r="L26" s="29">
        <v>0.5</v>
      </c>
      <c r="M26" s="29">
        <v>0.5</v>
      </c>
      <c r="N26" s="29">
        <v>0.5</v>
      </c>
      <c r="O26" s="18">
        <f t="shared" si="2"/>
        <v>6.5</v>
      </c>
      <c r="P26" s="18">
        <f t="shared" si="3"/>
        <v>54.166666666666664</v>
      </c>
      <c r="R26" s="21" t="s">
        <v>68</v>
      </c>
      <c r="S26" s="20" t="s">
        <v>133</v>
      </c>
      <c r="T26" s="20" t="s">
        <v>134</v>
      </c>
      <c r="U26" s="28"/>
      <c r="V26" s="28"/>
      <c r="W26" s="28"/>
      <c r="X26" s="28"/>
    </row>
    <row r="27" spans="1:24" ht="25.2" x14ac:dyDescent="0.45">
      <c r="A27" s="19" t="s">
        <v>135</v>
      </c>
      <c r="B27" s="27" t="s">
        <v>181</v>
      </c>
      <c r="C27" s="29">
        <v>1</v>
      </c>
      <c r="D27" s="29">
        <v>1</v>
      </c>
      <c r="E27" s="29">
        <v>1</v>
      </c>
      <c r="F27" s="29">
        <v>1</v>
      </c>
      <c r="G27" s="29">
        <v>0</v>
      </c>
      <c r="H27" s="29">
        <v>0</v>
      </c>
      <c r="I27" s="29">
        <v>1</v>
      </c>
      <c r="J27" s="29">
        <v>0</v>
      </c>
      <c r="K27" s="29">
        <v>0</v>
      </c>
      <c r="L27" s="29">
        <v>0</v>
      </c>
      <c r="M27" s="29">
        <v>0.5</v>
      </c>
      <c r="N27" s="29">
        <v>0.5</v>
      </c>
      <c r="O27" s="18">
        <f t="shared" si="2"/>
        <v>6</v>
      </c>
      <c r="P27" s="18">
        <f t="shared" si="3"/>
        <v>50</v>
      </c>
      <c r="R27" s="21" t="s">
        <v>69</v>
      </c>
      <c r="S27" s="20" t="s">
        <v>136</v>
      </c>
      <c r="T27" s="20" t="s">
        <v>137</v>
      </c>
      <c r="U27" s="28"/>
      <c r="V27" s="28"/>
      <c r="W27" s="28"/>
      <c r="X27" s="28"/>
    </row>
    <row r="28" spans="1:24" x14ac:dyDescent="0.45">
      <c r="A28" s="19" t="s">
        <v>138</v>
      </c>
      <c r="B28" s="27" t="s">
        <v>182</v>
      </c>
      <c r="C28" s="29">
        <v>1</v>
      </c>
      <c r="D28" s="29">
        <v>1</v>
      </c>
      <c r="E28" s="29">
        <v>1</v>
      </c>
      <c r="F28" s="29">
        <v>1</v>
      </c>
      <c r="G28" s="29">
        <v>1</v>
      </c>
      <c r="H28" s="29">
        <v>1</v>
      </c>
      <c r="I28" s="29">
        <v>1</v>
      </c>
      <c r="J28" s="29">
        <v>0.5</v>
      </c>
      <c r="K28" s="29">
        <v>0.5</v>
      </c>
      <c r="L28" s="29">
        <v>1</v>
      </c>
      <c r="M28" s="29">
        <v>0.5</v>
      </c>
      <c r="N28" s="29">
        <v>0.5</v>
      </c>
      <c r="O28" s="18">
        <f t="shared" si="2"/>
        <v>10</v>
      </c>
      <c r="P28" s="18">
        <f t="shared" si="3"/>
        <v>83.333333333333343</v>
      </c>
      <c r="R28" s="21" t="s">
        <v>70</v>
      </c>
      <c r="S28" s="20" t="s">
        <v>139</v>
      </c>
      <c r="T28" s="20" t="s">
        <v>140</v>
      </c>
      <c r="U28" s="28"/>
      <c r="V28" s="28"/>
      <c r="W28" s="28"/>
      <c r="X28" s="28"/>
    </row>
    <row r="29" spans="1:24" ht="25.2" x14ac:dyDescent="0.45">
      <c r="A29" s="19" t="s">
        <v>141</v>
      </c>
      <c r="B29" s="27" t="s">
        <v>183</v>
      </c>
      <c r="C29" s="29">
        <v>1</v>
      </c>
      <c r="D29" s="29">
        <v>1</v>
      </c>
      <c r="E29" s="29">
        <v>1</v>
      </c>
      <c r="F29" s="29">
        <v>1</v>
      </c>
      <c r="G29" s="29">
        <v>1</v>
      </c>
      <c r="H29" s="29">
        <v>1</v>
      </c>
      <c r="I29" s="29">
        <v>1</v>
      </c>
      <c r="J29" s="29">
        <v>1</v>
      </c>
      <c r="K29" s="29">
        <v>1</v>
      </c>
      <c r="L29" s="29">
        <v>0.5</v>
      </c>
      <c r="M29" s="29">
        <v>0.5</v>
      </c>
      <c r="N29" s="29">
        <v>0.5</v>
      </c>
      <c r="O29" s="18">
        <f t="shared" si="2"/>
        <v>10.5</v>
      </c>
      <c r="P29" s="18">
        <f t="shared" si="3"/>
        <v>87.5</v>
      </c>
      <c r="R29" s="21" t="s">
        <v>71</v>
      </c>
      <c r="S29" s="20" t="s">
        <v>142</v>
      </c>
      <c r="T29" s="20" t="s">
        <v>143</v>
      </c>
      <c r="U29" s="28"/>
      <c r="V29" s="28"/>
      <c r="W29" s="28"/>
      <c r="X29" s="28"/>
    </row>
    <row r="30" spans="1:24" ht="25.2" x14ac:dyDescent="0.45">
      <c r="A30" s="19" t="s">
        <v>144</v>
      </c>
      <c r="B30" s="27" t="s">
        <v>184</v>
      </c>
      <c r="C30" s="29">
        <v>1</v>
      </c>
      <c r="D30" s="29">
        <v>1</v>
      </c>
      <c r="E30" s="29">
        <v>1</v>
      </c>
      <c r="F30" s="29">
        <v>1</v>
      </c>
      <c r="G30" s="29">
        <v>1</v>
      </c>
      <c r="H30" s="29">
        <v>1</v>
      </c>
      <c r="I30" s="29">
        <v>1</v>
      </c>
      <c r="J30" s="29">
        <v>0.5</v>
      </c>
      <c r="K30" s="29">
        <v>1</v>
      </c>
      <c r="L30" s="29">
        <v>0</v>
      </c>
      <c r="M30" s="29">
        <v>0.5</v>
      </c>
      <c r="N30" s="29">
        <v>0.5</v>
      </c>
      <c r="O30" s="18">
        <f t="shared" si="2"/>
        <v>9.5</v>
      </c>
      <c r="P30" s="18">
        <f t="shared" si="3"/>
        <v>79.166666666666657</v>
      </c>
      <c r="R30" s="21" t="s">
        <v>72</v>
      </c>
      <c r="S30" s="20" t="s">
        <v>145</v>
      </c>
      <c r="T30" s="20" t="s">
        <v>146</v>
      </c>
      <c r="U30" s="28"/>
      <c r="V30" s="28"/>
      <c r="W30" s="28"/>
      <c r="X30" s="28"/>
    </row>
    <row r="31" spans="1:24" ht="25.2" x14ac:dyDescent="0.45">
      <c r="R31" s="21" t="s">
        <v>73</v>
      </c>
      <c r="S31" s="20" t="s">
        <v>147</v>
      </c>
      <c r="T31" s="20" t="s">
        <v>148</v>
      </c>
      <c r="U31" s="28"/>
      <c r="V31" s="28"/>
      <c r="W31" s="28"/>
      <c r="X31" s="28"/>
    </row>
    <row r="32" spans="1:24" x14ac:dyDescent="0.45">
      <c r="R32" s="21" t="s">
        <v>74</v>
      </c>
      <c r="S32" s="20" t="s">
        <v>149</v>
      </c>
      <c r="T32" s="20" t="s">
        <v>150</v>
      </c>
      <c r="U32" s="28"/>
      <c r="V32" s="28"/>
      <c r="W32" s="28"/>
      <c r="X32" s="28"/>
    </row>
    <row r="33" spans="18:25" ht="25.2" x14ac:dyDescent="0.45">
      <c r="R33" s="21" t="s">
        <v>75</v>
      </c>
      <c r="S33" s="20" t="s">
        <v>151</v>
      </c>
      <c r="T33" s="20" t="s">
        <v>152</v>
      </c>
      <c r="U33" s="28"/>
      <c r="V33" s="28"/>
      <c r="W33" s="28"/>
      <c r="X33" s="28"/>
    </row>
    <row r="34" spans="18:25" ht="25.2" x14ac:dyDescent="0.45">
      <c r="R34" s="21" t="s">
        <v>76</v>
      </c>
      <c r="S34" s="20" t="s">
        <v>153</v>
      </c>
      <c r="T34" s="20" t="s">
        <v>154</v>
      </c>
      <c r="U34" s="28"/>
      <c r="V34" s="28"/>
      <c r="W34" s="28"/>
      <c r="X34" s="28"/>
    </row>
    <row r="35" spans="18:25" x14ac:dyDescent="0.45">
      <c r="R35" s="21" t="s">
        <v>77</v>
      </c>
      <c r="S35" s="20" t="s">
        <v>155</v>
      </c>
      <c r="T35" s="20" t="s">
        <v>156</v>
      </c>
      <c r="U35" s="28"/>
      <c r="V35" s="28"/>
      <c r="W35" s="28"/>
      <c r="X35" s="28"/>
    </row>
    <row r="36" spans="18:25" ht="25.2" x14ac:dyDescent="0.45">
      <c r="R36" s="21" t="s">
        <v>78</v>
      </c>
      <c r="S36" s="20" t="s">
        <v>157</v>
      </c>
      <c r="T36" s="20" t="s">
        <v>158</v>
      </c>
      <c r="U36" s="28"/>
      <c r="V36" s="28"/>
      <c r="W36" s="28"/>
      <c r="X36" s="28"/>
    </row>
    <row r="37" spans="18:25" x14ac:dyDescent="0.45">
      <c r="T37" s="22"/>
      <c r="U37" s="23"/>
      <c r="V37" s="28"/>
      <c r="W37" s="28"/>
      <c r="X37" s="28"/>
      <c r="Y37" s="28"/>
    </row>
    <row r="38" spans="18:25" x14ac:dyDescent="0.45">
      <c r="S38" s="16" t="s">
        <v>116</v>
      </c>
      <c r="T38" s="16" t="s">
        <v>117</v>
      </c>
      <c r="V38" s="28"/>
      <c r="W38" s="28"/>
      <c r="X38" s="28"/>
      <c r="Y38" s="28"/>
    </row>
    <row r="39" spans="18:25" x14ac:dyDescent="0.45">
      <c r="S39" s="21" t="s">
        <v>119</v>
      </c>
      <c r="T39" s="19" t="s">
        <v>159</v>
      </c>
      <c r="V39" s="28"/>
      <c r="W39" s="28"/>
      <c r="X39" s="28"/>
      <c r="Y39" s="28"/>
    </row>
    <row r="40" spans="18:25" x14ac:dyDescent="0.45">
      <c r="S40" s="21" t="s">
        <v>121</v>
      </c>
      <c r="T40" s="19" t="s">
        <v>160</v>
      </c>
      <c r="V40" s="28"/>
      <c r="W40" s="28"/>
      <c r="X40" s="28"/>
      <c r="Y40" s="28"/>
    </row>
    <row r="41" spans="18:25" ht="25.2" x14ac:dyDescent="0.45">
      <c r="S41" s="21" t="s">
        <v>123</v>
      </c>
      <c r="T41" s="19" t="s">
        <v>161</v>
      </c>
      <c r="V41" s="28"/>
      <c r="W41" s="28"/>
      <c r="X41" s="28"/>
      <c r="Y41" s="28"/>
    </row>
    <row r="42" spans="18:25" x14ac:dyDescent="0.45">
      <c r="S42" s="23"/>
      <c r="U42" s="23"/>
      <c r="V42" s="28"/>
      <c r="W42" s="28"/>
      <c r="X42" s="28"/>
      <c r="Y42" s="28"/>
    </row>
    <row r="43" spans="18:25" x14ac:dyDescent="0.45">
      <c r="S43" s="23"/>
      <c r="U43" s="23"/>
      <c r="V43" s="28"/>
      <c r="W43" s="28"/>
      <c r="X43" s="28"/>
      <c r="Y43" s="28"/>
    </row>
  </sheetData>
  <mergeCells count="12">
    <mergeCell ref="A21:A22"/>
    <mergeCell ref="B21:B22"/>
    <mergeCell ref="C21:N21"/>
    <mergeCell ref="O21:O22"/>
    <mergeCell ref="P21:P22"/>
    <mergeCell ref="A20:P20"/>
    <mergeCell ref="A1:P1"/>
    <mergeCell ref="A2:A3"/>
    <mergeCell ref="B2:B3"/>
    <mergeCell ref="C2:N2"/>
    <mergeCell ref="O2:O3"/>
    <mergeCell ref="P2:P3"/>
  </mergeCells>
  <conditionalFormatting sqref="A10:A11">
    <cfRule type="duplicateValues" dxfId="10" priority="1"/>
  </conditionalFormatting>
  <conditionalFormatting sqref="A10:A11">
    <cfRule type="duplicateValues" dxfId="9" priority="2"/>
  </conditionalFormatting>
  <conditionalFormatting sqref="A12:A13">
    <cfRule type="duplicateValues" dxfId="8" priority="3"/>
  </conditionalFormatting>
  <conditionalFormatting sqref="A4:A6">
    <cfRule type="duplicateValues" dxfId="7" priority="4"/>
  </conditionalFormatting>
  <conditionalFormatting sqref="A4:A6">
    <cfRule type="duplicateValues" dxfId="6" priority="5"/>
  </conditionalFormatting>
  <conditionalFormatting sqref="A7">
    <cfRule type="duplicateValues" dxfId="5" priority="6"/>
  </conditionalFormatting>
  <conditionalFormatting sqref="A7">
    <cfRule type="duplicateValues" dxfId="4" priority="7"/>
  </conditionalFormatting>
  <conditionalFormatting sqref="A8:A9">
    <cfRule type="duplicateValues" dxfId="3" priority="8"/>
  </conditionalFormatting>
  <conditionalFormatting sqref="A8:A9">
    <cfRule type="duplicateValues" dxfId="2" priority="9"/>
  </conditionalFormatting>
  <conditionalFormatting sqref="A4:A18">
    <cfRule type="duplicateValues" dxfId="1" priority="10"/>
  </conditionalFormatting>
  <hyperlinks>
    <hyperlink ref="A7" r:id="rId1"/>
    <hyperlink ref="A10" r:id="rId2"/>
    <hyperlink ref="A8" r:id="rId3"/>
    <hyperlink ref="A9" r:id="rId4"/>
    <hyperlink ref="A11" r:id="rId5"/>
    <hyperlink ref="A12" r:id="rId6"/>
    <hyperlink ref="A13" r:id="rId7"/>
    <hyperlink ref="A14" r:id="rId8"/>
    <hyperlink ref="A15" r:id="rId9"/>
    <hyperlink ref="A16" r:id="rId10"/>
    <hyperlink ref="A17" r:id="rId11"/>
    <hyperlink ref="A18" r:id="rId1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4"/>
  <sheetViews>
    <sheetView workbookViewId="0">
      <pane xSplit="1" topLeftCell="AU1" activePane="topRight" state="frozen"/>
      <selection pane="topRight" activeCell="BI18" sqref="BI18:BO18"/>
    </sheetView>
  </sheetViews>
  <sheetFormatPr defaultRowHeight="14.4" x14ac:dyDescent="0.55000000000000004"/>
  <cols>
    <col min="1" max="32" width="8.83984375" style="14"/>
    <col min="33" max="33" width="11.68359375" style="14" customWidth="1"/>
    <col min="34" max="67" width="8.83984375" style="14"/>
    <col min="68" max="68" width="9.26171875" style="14" customWidth="1"/>
    <col min="69" max="16384" width="8.83984375" style="14"/>
  </cols>
  <sheetData>
    <row r="1" spans="1:74" x14ac:dyDescent="0.55000000000000004">
      <c r="A1" s="71" t="s">
        <v>185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3"/>
    </row>
    <row r="2" spans="1:74" x14ac:dyDescent="0.55000000000000004">
      <c r="A2" s="194"/>
      <c r="B2" s="194"/>
      <c r="C2" s="197" t="s">
        <v>364</v>
      </c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9"/>
      <c r="Q2" s="178" t="s">
        <v>444</v>
      </c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  <c r="AG2" s="179"/>
      <c r="AH2" s="179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58"/>
      <c r="BJ2" s="158"/>
      <c r="BK2" s="158"/>
      <c r="BL2" s="158"/>
      <c r="BM2" s="158"/>
      <c r="BN2" s="158"/>
      <c r="BO2" s="158"/>
      <c r="BP2" s="158"/>
      <c r="BQ2" s="158"/>
      <c r="BR2" s="158"/>
      <c r="BS2" s="158"/>
      <c r="BT2" s="158"/>
      <c r="BU2" s="158"/>
      <c r="BV2" s="158"/>
    </row>
    <row r="3" spans="1:74" ht="25.2" customHeight="1" x14ac:dyDescent="0.55000000000000004">
      <c r="A3" s="194"/>
      <c r="B3" s="194"/>
      <c r="C3" s="200" t="s">
        <v>365</v>
      </c>
      <c r="D3" s="200"/>
      <c r="E3" s="200"/>
      <c r="F3" s="200"/>
      <c r="G3" s="200"/>
      <c r="H3" s="200"/>
      <c r="I3" s="200"/>
      <c r="J3" s="200"/>
      <c r="K3" s="200"/>
      <c r="L3" s="198" t="s">
        <v>366</v>
      </c>
      <c r="M3" s="198"/>
      <c r="N3" s="198"/>
      <c r="O3" s="198"/>
      <c r="P3" s="199"/>
      <c r="Q3" s="180" t="s">
        <v>445</v>
      </c>
      <c r="R3" s="179" t="s">
        <v>832</v>
      </c>
      <c r="S3" s="179"/>
      <c r="T3" s="179"/>
      <c r="U3" s="179"/>
      <c r="V3" s="181"/>
      <c r="W3" s="180"/>
      <c r="X3" s="178" t="s">
        <v>833</v>
      </c>
      <c r="Y3" s="181"/>
      <c r="Z3" s="178" t="s">
        <v>446</v>
      </c>
      <c r="AA3" s="179"/>
      <c r="AB3" s="179"/>
      <c r="AC3" s="181"/>
      <c r="AD3" s="178" t="s">
        <v>447</v>
      </c>
      <c r="AE3" s="179"/>
      <c r="AF3" s="181"/>
      <c r="AG3" s="178" t="s">
        <v>448</v>
      </c>
      <c r="AH3" s="181"/>
      <c r="AI3" s="167"/>
      <c r="AJ3" s="168"/>
      <c r="AK3" s="168"/>
      <c r="AL3" s="168"/>
      <c r="AM3" s="168"/>
      <c r="AN3" s="168"/>
      <c r="AO3" s="168"/>
      <c r="AP3" s="169"/>
      <c r="AQ3" s="167"/>
      <c r="AR3" s="168"/>
      <c r="AS3" s="168"/>
      <c r="AT3" s="168"/>
      <c r="AU3" s="168"/>
      <c r="AV3" s="168"/>
      <c r="AW3" s="168"/>
      <c r="AX3" s="168"/>
      <c r="AY3" s="168"/>
      <c r="AZ3" s="169"/>
      <c r="BA3" s="168"/>
      <c r="BB3" s="168"/>
      <c r="BC3" s="168"/>
      <c r="BD3" s="168"/>
      <c r="BE3" s="168"/>
      <c r="BF3" s="168"/>
      <c r="BG3" s="169"/>
      <c r="BH3" s="170"/>
      <c r="BI3" s="159"/>
      <c r="BJ3" s="160"/>
      <c r="BK3" s="160"/>
      <c r="BL3" s="160"/>
      <c r="BM3" s="160"/>
      <c r="BN3" s="160"/>
      <c r="BO3" s="161"/>
      <c r="BP3" s="149" t="s">
        <v>1083</v>
      </c>
      <c r="BQ3" s="153"/>
      <c r="BR3" s="149" t="s">
        <v>648</v>
      </c>
      <c r="BS3" s="153"/>
      <c r="BT3" s="153"/>
      <c r="BU3" s="150"/>
      <c r="BV3" s="121" t="s">
        <v>649</v>
      </c>
    </row>
    <row r="4" spans="1:74" ht="37.799999999999997" x14ac:dyDescent="0.55000000000000004">
      <c r="A4" s="194"/>
      <c r="B4" s="194"/>
      <c r="C4" s="197" t="s">
        <v>367</v>
      </c>
      <c r="D4" s="198"/>
      <c r="E4" s="198"/>
      <c r="F4" s="198"/>
      <c r="G4" s="198"/>
      <c r="H4" s="198"/>
      <c r="I4" s="198"/>
      <c r="J4" s="199"/>
      <c r="K4" s="201" t="s">
        <v>368</v>
      </c>
      <c r="L4" s="201" t="s">
        <v>369</v>
      </c>
      <c r="M4" s="201" t="s">
        <v>370</v>
      </c>
      <c r="N4" s="201" t="s">
        <v>371</v>
      </c>
      <c r="O4" s="201" t="s">
        <v>372</v>
      </c>
      <c r="P4" s="202" t="s">
        <v>373</v>
      </c>
      <c r="Q4" s="180" t="s">
        <v>445</v>
      </c>
      <c r="R4" s="182" t="s">
        <v>2</v>
      </c>
      <c r="S4" s="182" t="s">
        <v>3</v>
      </c>
      <c r="T4" s="182" t="s">
        <v>4</v>
      </c>
      <c r="U4" s="182" t="s">
        <v>5</v>
      </c>
      <c r="V4" s="182" t="s">
        <v>6</v>
      </c>
      <c r="W4" s="182" t="s">
        <v>449</v>
      </c>
      <c r="X4" s="182" t="s">
        <v>10</v>
      </c>
      <c r="Y4" s="182" t="s">
        <v>11</v>
      </c>
      <c r="Z4" s="182" t="s">
        <v>450</v>
      </c>
      <c r="AA4" s="182" t="s">
        <v>450</v>
      </c>
      <c r="AB4" s="182" t="s">
        <v>451</v>
      </c>
      <c r="AC4" s="182" t="s">
        <v>451</v>
      </c>
      <c r="AD4" s="182" t="s">
        <v>14</v>
      </c>
      <c r="AE4" s="182" t="s">
        <v>15</v>
      </c>
      <c r="AF4" s="182" t="s">
        <v>16</v>
      </c>
      <c r="AG4" s="182" t="s">
        <v>452</v>
      </c>
      <c r="AH4" s="182" t="s">
        <v>453</v>
      </c>
      <c r="AI4" s="171" t="s">
        <v>650</v>
      </c>
      <c r="AJ4" s="172"/>
      <c r="AK4" s="172"/>
      <c r="AL4" s="172"/>
      <c r="AM4" s="172"/>
      <c r="AN4" s="172"/>
      <c r="AO4" s="172"/>
      <c r="AP4" s="173"/>
      <c r="AQ4" s="171" t="s">
        <v>651</v>
      </c>
      <c r="AR4" s="172"/>
      <c r="AS4" s="172"/>
      <c r="AT4" s="172"/>
      <c r="AU4" s="172"/>
      <c r="AV4" s="172"/>
      <c r="AW4" s="172"/>
      <c r="AX4" s="172"/>
      <c r="AY4" s="172"/>
      <c r="AZ4" s="173"/>
      <c r="BA4" s="171" t="s">
        <v>652</v>
      </c>
      <c r="BB4" s="172"/>
      <c r="BC4" s="172"/>
      <c r="BD4" s="172"/>
      <c r="BE4" s="172"/>
      <c r="BF4" s="172"/>
      <c r="BG4" s="173"/>
      <c r="BH4" s="176" t="s">
        <v>653</v>
      </c>
      <c r="BI4" s="149" t="s">
        <v>654</v>
      </c>
      <c r="BJ4" s="153"/>
      <c r="BK4" s="153"/>
      <c r="BL4" s="153"/>
      <c r="BM4" s="153"/>
      <c r="BN4" s="153"/>
      <c r="BO4" s="150"/>
      <c r="BP4" s="121" t="s">
        <v>655</v>
      </c>
      <c r="BQ4" s="121" t="s">
        <v>656</v>
      </c>
      <c r="BR4" s="121" t="s">
        <v>657</v>
      </c>
      <c r="BS4" s="121" t="s">
        <v>658</v>
      </c>
      <c r="BT4" s="121" t="s">
        <v>659</v>
      </c>
      <c r="BU4" s="121" t="s">
        <v>660</v>
      </c>
      <c r="BV4" s="121" t="s">
        <v>661</v>
      </c>
    </row>
    <row r="5" spans="1:74" ht="75.599999999999994" x14ac:dyDescent="0.55000000000000004">
      <c r="A5" s="180" t="s">
        <v>374</v>
      </c>
      <c r="B5" s="180" t="s">
        <v>375</v>
      </c>
      <c r="C5" s="201" t="s">
        <v>376</v>
      </c>
      <c r="D5" s="201" t="s">
        <v>377</v>
      </c>
      <c r="E5" s="201" t="s">
        <v>378</v>
      </c>
      <c r="F5" s="201" t="s">
        <v>379</v>
      </c>
      <c r="G5" s="201" t="s">
        <v>380</v>
      </c>
      <c r="H5" s="201" t="s">
        <v>381</v>
      </c>
      <c r="I5" s="201" t="s">
        <v>382</v>
      </c>
      <c r="J5" s="201" t="s">
        <v>383</v>
      </c>
      <c r="K5" s="201" t="s">
        <v>384</v>
      </c>
      <c r="L5" s="201" t="s">
        <v>385</v>
      </c>
      <c r="M5" s="201" t="s">
        <v>386</v>
      </c>
      <c r="N5" s="201" t="s">
        <v>387</v>
      </c>
      <c r="O5" s="201" t="s">
        <v>388</v>
      </c>
      <c r="P5" s="201" t="s">
        <v>389</v>
      </c>
      <c r="Q5" s="180" t="s">
        <v>454</v>
      </c>
      <c r="R5" s="180" t="s">
        <v>455</v>
      </c>
      <c r="S5" s="180" t="s">
        <v>455</v>
      </c>
      <c r="T5" s="180" t="s">
        <v>455</v>
      </c>
      <c r="U5" s="180" t="s">
        <v>455</v>
      </c>
      <c r="V5" s="180" t="s">
        <v>455</v>
      </c>
      <c r="W5" s="180" t="s">
        <v>456</v>
      </c>
      <c r="X5" s="180" t="s">
        <v>457</v>
      </c>
      <c r="Y5" s="180" t="s">
        <v>458</v>
      </c>
      <c r="Z5" s="180" t="s">
        <v>459</v>
      </c>
      <c r="AA5" s="180" t="s">
        <v>460</v>
      </c>
      <c r="AB5" s="180" t="s">
        <v>459</v>
      </c>
      <c r="AC5" s="180" t="s">
        <v>460</v>
      </c>
      <c r="AD5" s="180"/>
      <c r="AE5" s="180"/>
      <c r="AF5" s="180" t="s">
        <v>461</v>
      </c>
      <c r="AG5" s="180"/>
      <c r="AH5" s="180"/>
      <c r="AI5" s="170" t="s">
        <v>662</v>
      </c>
      <c r="AJ5" s="170" t="s">
        <v>663</v>
      </c>
      <c r="AK5" s="170" t="s">
        <v>664</v>
      </c>
      <c r="AL5" s="170" t="s">
        <v>665</v>
      </c>
      <c r="AM5" s="170" t="s">
        <v>666</v>
      </c>
      <c r="AN5" s="170" t="s">
        <v>667</v>
      </c>
      <c r="AO5" s="170" t="s">
        <v>383</v>
      </c>
      <c r="AP5" s="170" t="s">
        <v>319</v>
      </c>
      <c r="AQ5" s="170" t="s">
        <v>668</v>
      </c>
      <c r="AR5" s="170" t="s">
        <v>669</v>
      </c>
      <c r="AS5" s="170" t="s">
        <v>670</v>
      </c>
      <c r="AT5" s="170" t="s">
        <v>671</v>
      </c>
      <c r="AU5" s="170" t="s">
        <v>672</v>
      </c>
      <c r="AV5" s="170" t="s">
        <v>666</v>
      </c>
      <c r="AW5" s="170" t="s">
        <v>673</v>
      </c>
      <c r="AX5" s="170" t="s">
        <v>674</v>
      </c>
      <c r="AY5" s="170" t="s">
        <v>383</v>
      </c>
      <c r="AZ5" s="170" t="s">
        <v>319</v>
      </c>
      <c r="BA5" s="170" t="s">
        <v>675</v>
      </c>
      <c r="BB5" s="170" t="s">
        <v>676</v>
      </c>
      <c r="BC5" s="170" t="s">
        <v>677</v>
      </c>
      <c r="BD5" s="170" t="s">
        <v>678</v>
      </c>
      <c r="BE5" s="170" t="s">
        <v>679</v>
      </c>
      <c r="BF5" s="170" t="s">
        <v>383</v>
      </c>
      <c r="BG5" s="170" t="s">
        <v>319</v>
      </c>
      <c r="BH5" s="170" t="s">
        <v>459</v>
      </c>
      <c r="BI5" s="121" t="s">
        <v>680</v>
      </c>
      <c r="BJ5" s="121" t="s">
        <v>681</v>
      </c>
      <c r="BK5" s="121" t="s">
        <v>682</v>
      </c>
      <c r="BL5" s="121" t="s">
        <v>683</v>
      </c>
      <c r="BM5" s="121" t="s">
        <v>684</v>
      </c>
      <c r="BN5" s="121" t="s">
        <v>383</v>
      </c>
      <c r="BO5" s="121" t="s">
        <v>319</v>
      </c>
      <c r="BP5" s="121" t="s">
        <v>459</v>
      </c>
      <c r="BQ5" s="121" t="s">
        <v>459</v>
      </c>
      <c r="BR5" s="121" t="s">
        <v>459</v>
      </c>
      <c r="BS5" s="121" t="s">
        <v>459</v>
      </c>
      <c r="BT5" s="121" t="s">
        <v>459</v>
      </c>
      <c r="BU5" s="121" t="s">
        <v>459</v>
      </c>
      <c r="BV5" s="121" t="s">
        <v>459</v>
      </c>
    </row>
    <row r="6" spans="1:74" x14ac:dyDescent="0.55000000000000004">
      <c r="A6" s="184" t="s">
        <v>177</v>
      </c>
      <c r="B6" s="185" t="s">
        <v>127</v>
      </c>
      <c r="C6" s="203" t="s">
        <v>391</v>
      </c>
      <c r="D6" s="203" t="s">
        <v>392</v>
      </c>
      <c r="E6" s="203" t="s">
        <v>392</v>
      </c>
      <c r="F6" s="203" t="s">
        <v>391</v>
      </c>
      <c r="G6" s="203" t="s">
        <v>392</v>
      </c>
      <c r="H6" s="203" t="s">
        <v>391</v>
      </c>
      <c r="I6" s="203" t="s">
        <v>391</v>
      </c>
      <c r="J6" s="203" t="s">
        <v>391</v>
      </c>
      <c r="K6" s="203" t="s">
        <v>319</v>
      </c>
      <c r="L6" s="203" t="s">
        <v>393</v>
      </c>
      <c r="M6" s="203" t="s">
        <v>319</v>
      </c>
      <c r="N6" s="203" t="s">
        <v>394</v>
      </c>
      <c r="O6" s="203" t="s">
        <v>395</v>
      </c>
      <c r="P6" s="203" t="s">
        <v>396</v>
      </c>
      <c r="Q6" s="183" t="s">
        <v>462</v>
      </c>
      <c r="R6" s="184" t="s">
        <v>319</v>
      </c>
      <c r="S6" s="184" t="s">
        <v>463</v>
      </c>
      <c r="T6" s="184" t="s">
        <v>319</v>
      </c>
      <c r="U6" s="184" t="s">
        <v>706</v>
      </c>
      <c r="V6" s="184" t="s">
        <v>464</v>
      </c>
      <c r="W6" s="184" t="s">
        <v>465</v>
      </c>
      <c r="X6" s="184" t="s">
        <v>466</v>
      </c>
      <c r="Y6" s="184" t="s">
        <v>467</v>
      </c>
      <c r="Z6" s="184" t="s">
        <v>392</v>
      </c>
      <c r="AA6" s="184" t="s">
        <v>468</v>
      </c>
      <c r="AB6" s="184" t="s">
        <v>319</v>
      </c>
      <c r="AC6" s="184" t="s">
        <v>391</v>
      </c>
      <c r="AD6" s="184" t="s">
        <v>319</v>
      </c>
      <c r="AE6" s="184" t="s">
        <v>319</v>
      </c>
      <c r="AF6" s="184" t="s">
        <v>319</v>
      </c>
      <c r="AG6" s="185" t="s">
        <v>469</v>
      </c>
      <c r="AH6" s="185" t="s">
        <v>470</v>
      </c>
      <c r="AI6" s="174" t="s">
        <v>392</v>
      </c>
      <c r="AJ6" s="174" t="s">
        <v>319</v>
      </c>
      <c r="AK6" s="174" t="s">
        <v>319</v>
      </c>
      <c r="AL6" s="174" t="s">
        <v>319</v>
      </c>
      <c r="AM6" s="174" t="s">
        <v>319</v>
      </c>
      <c r="AN6" s="174" t="s">
        <v>319</v>
      </c>
      <c r="AO6" s="174" t="s">
        <v>685</v>
      </c>
      <c r="AP6" s="174" t="s">
        <v>391</v>
      </c>
      <c r="AQ6" s="174" t="s">
        <v>392</v>
      </c>
      <c r="AR6" s="174" t="s">
        <v>392</v>
      </c>
      <c r="AS6" s="174" t="s">
        <v>392</v>
      </c>
      <c r="AT6" s="174" t="s">
        <v>319</v>
      </c>
      <c r="AU6" s="174" t="s">
        <v>319</v>
      </c>
      <c r="AV6" s="174" t="s">
        <v>319</v>
      </c>
      <c r="AW6" s="174" t="s">
        <v>392</v>
      </c>
      <c r="AX6" s="174" t="s">
        <v>392</v>
      </c>
      <c r="AY6" s="174" t="s">
        <v>319</v>
      </c>
      <c r="AZ6" s="174" t="s">
        <v>391</v>
      </c>
      <c r="BA6" s="174" t="s">
        <v>319</v>
      </c>
      <c r="BB6" s="174" t="s">
        <v>319</v>
      </c>
      <c r="BC6" s="174" t="s">
        <v>392</v>
      </c>
      <c r="BD6" s="174" t="s">
        <v>319</v>
      </c>
      <c r="BE6" s="174" t="s">
        <v>392</v>
      </c>
      <c r="BF6" s="174" t="s">
        <v>319</v>
      </c>
      <c r="BG6" s="174" t="s">
        <v>391</v>
      </c>
      <c r="BH6" s="174" t="s">
        <v>319</v>
      </c>
      <c r="BI6" s="162" t="s">
        <v>392</v>
      </c>
      <c r="BJ6" s="162" t="s">
        <v>319</v>
      </c>
      <c r="BK6" s="162" t="s">
        <v>319</v>
      </c>
      <c r="BL6" s="162" t="s">
        <v>319</v>
      </c>
      <c r="BM6" s="162" t="s">
        <v>392</v>
      </c>
      <c r="BN6" s="162" t="s">
        <v>686</v>
      </c>
      <c r="BO6" s="162" t="s">
        <v>391</v>
      </c>
      <c r="BP6" s="162" t="s">
        <v>392</v>
      </c>
      <c r="BQ6" s="162" t="s">
        <v>319</v>
      </c>
      <c r="BR6" s="162" t="s">
        <v>392</v>
      </c>
      <c r="BS6" s="162" t="s">
        <v>392</v>
      </c>
      <c r="BT6" s="162" t="s">
        <v>391</v>
      </c>
      <c r="BU6" s="162" t="s">
        <v>319</v>
      </c>
      <c r="BV6" s="162" t="s">
        <v>392</v>
      </c>
    </row>
    <row r="7" spans="1:74" x14ac:dyDescent="0.55000000000000004">
      <c r="A7" s="184" t="s">
        <v>178</v>
      </c>
      <c r="B7" s="185" t="s">
        <v>128</v>
      </c>
      <c r="C7" s="203" t="s">
        <v>391</v>
      </c>
      <c r="D7" s="203" t="s">
        <v>391</v>
      </c>
      <c r="E7" s="203" t="s">
        <v>391</v>
      </c>
      <c r="F7" s="203" t="s">
        <v>391</v>
      </c>
      <c r="G7" s="203" t="s">
        <v>391</v>
      </c>
      <c r="H7" s="203" t="s">
        <v>398</v>
      </c>
      <c r="I7" s="203" t="s">
        <v>391</v>
      </c>
      <c r="J7" s="203" t="s">
        <v>391</v>
      </c>
      <c r="K7" s="203" t="s">
        <v>319</v>
      </c>
      <c r="L7" s="203" t="s">
        <v>399</v>
      </c>
      <c r="M7" s="203" t="s">
        <v>400</v>
      </c>
      <c r="N7" s="203" t="s">
        <v>401</v>
      </c>
      <c r="O7" s="203" t="s">
        <v>319</v>
      </c>
      <c r="P7" s="203" t="s">
        <v>396</v>
      </c>
      <c r="Q7" s="183" t="s">
        <v>471</v>
      </c>
      <c r="R7" s="184" t="s">
        <v>472</v>
      </c>
      <c r="S7" s="184" t="s">
        <v>319</v>
      </c>
      <c r="T7" s="184" t="s">
        <v>319</v>
      </c>
      <c r="U7" s="184" t="s">
        <v>319</v>
      </c>
      <c r="V7" s="184" t="s">
        <v>319</v>
      </c>
      <c r="W7" s="184" t="s">
        <v>473</v>
      </c>
      <c r="X7" s="184" t="s">
        <v>319</v>
      </c>
      <c r="Y7" s="184" t="s">
        <v>319</v>
      </c>
      <c r="Z7" s="184" t="s">
        <v>319</v>
      </c>
      <c r="AA7" s="184" t="s">
        <v>391</v>
      </c>
      <c r="AB7" s="184" t="s">
        <v>319</v>
      </c>
      <c r="AC7" s="184" t="s">
        <v>391</v>
      </c>
      <c r="AD7" s="184" t="s">
        <v>319</v>
      </c>
      <c r="AE7" s="184" t="s">
        <v>319</v>
      </c>
      <c r="AF7" s="184" t="s">
        <v>319</v>
      </c>
      <c r="AG7" s="185" t="s">
        <v>474</v>
      </c>
      <c r="AH7" s="185" t="s">
        <v>475</v>
      </c>
      <c r="AI7" s="174" t="s">
        <v>392</v>
      </c>
      <c r="AJ7" s="174" t="s">
        <v>319</v>
      </c>
      <c r="AK7" s="174" t="s">
        <v>319</v>
      </c>
      <c r="AL7" s="174" t="s">
        <v>319</v>
      </c>
      <c r="AM7" s="174" t="s">
        <v>319</v>
      </c>
      <c r="AN7" s="174" t="s">
        <v>319</v>
      </c>
      <c r="AO7" s="174" t="s">
        <v>687</v>
      </c>
      <c r="AP7" s="174" t="s">
        <v>391</v>
      </c>
      <c r="AQ7" s="174" t="s">
        <v>319</v>
      </c>
      <c r="AR7" s="174" t="s">
        <v>392</v>
      </c>
      <c r="AS7" s="174" t="s">
        <v>319</v>
      </c>
      <c r="AT7" s="174" t="s">
        <v>319</v>
      </c>
      <c r="AU7" s="174" t="s">
        <v>392</v>
      </c>
      <c r="AV7" s="174" t="s">
        <v>319</v>
      </c>
      <c r="AW7" s="174" t="s">
        <v>392</v>
      </c>
      <c r="AX7" s="174" t="s">
        <v>392</v>
      </c>
      <c r="AY7" s="174" t="s">
        <v>688</v>
      </c>
      <c r="AZ7" s="174" t="s">
        <v>391</v>
      </c>
      <c r="BA7" s="174" t="s">
        <v>689</v>
      </c>
      <c r="BB7" s="174" t="s">
        <v>319</v>
      </c>
      <c r="BC7" s="174" t="s">
        <v>392</v>
      </c>
      <c r="BD7" s="174" t="s">
        <v>319</v>
      </c>
      <c r="BE7" s="174" t="s">
        <v>319</v>
      </c>
      <c r="BF7" s="174" t="s">
        <v>319</v>
      </c>
      <c r="BG7" s="174" t="s">
        <v>391</v>
      </c>
      <c r="BH7" s="174" t="s">
        <v>319</v>
      </c>
      <c r="BI7" s="162" t="s">
        <v>392</v>
      </c>
      <c r="BJ7" s="162" t="s">
        <v>319</v>
      </c>
      <c r="BK7" s="162" t="s">
        <v>319</v>
      </c>
      <c r="BL7" s="162" t="s">
        <v>319</v>
      </c>
      <c r="BM7" s="162" t="s">
        <v>319</v>
      </c>
      <c r="BN7" s="162" t="s">
        <v>319</v>
      </c>
      <c r="BO7" s="162" t="s">
        <v>391</v>
      </c>
      <c r="BP7" s="162" t="s">
        <v>391</v>
      </c>
      <c r="BQ7" s="162" t="s">
        <v>319</v>
      </c>
      <c r="BR7" s="162" t="s">
        <v>319</v>
      </c>
      <c r="BS7" s="162" t="s">
        <v>392</v>
      </c>
      <c r="BT7" s="162" t="s">
        <v>391</v>
      </c>
      <c r="BU7" s="162" t="s">
        <v>319</v>
      </c>
      <c r="BV7" s="162" t="s">
        <v>392</v>
      </c>
    </row>
    <row r="8" spans="1:74" x14ac:dyDescent="0.55000000000000004">
      <c r="A8" s="184" t="s">
        <v>179</v>
      </c>
      <c r="B8" s="185" t="s">
        <v>129</v>
      </c>
      <c r="C8" s="203" t="s">
        <v>391</v>
      </c>
      <c r="D8" s="203" t="s">
        <v>391</v>
      </c>
      <c r="E8" s="203" t="s">
        <v>391</v>
      </c>
      <c r="F8" s="203" t="s">
        <v>391</v>
      </c>
      <c r="G8" s="203" t="s">
        <v>391</v>
      </c>
      <c r="H8" s="203" t="s">
        <v>398</v>
      </c>
      <c r="I8" s="203" t="s">
        <v>391</v>
      </c>
      <c r="J8" s="203" t="s">
        <v>391</v>
      </c>
      <c r="K8" s="203" t="s">
        <v>402</v>
      </c>
      <c r="L8" s="203" t="s">
        <v>319</v>
      </c>
      <c r="M8" s="203" t="s">
        <v>319</v>
      </c>
      <c r="N8" s="203" t="s">
        <v>403</v>
      </c>
      <c r="O8" s="203" t="s">
        <v>404</v>
      </c>
      <c r="P8" s="203" t="s">
        <v>396</v>
      </c>
      <c r="Q8" s="183" t="s">
        <v>476</v>
      </c>
      <c r="R8" s="184" t="s">
        <v>319</v>
      </c>
      <c r="S8" s="184" t="s">
        <v>319</v>
      </c>
      <c r="T8" s="184" t="s">
        <v>319</v>
      </c>
      <c r="U8" s="184" t="s">
        <v>319</v>
      </c>
      <c r="V8" s="184" t="s">
        <v>319</v>
      </c>
      <c r="W8" s="184" t="s">
        <v>501</v>
      </c>
      <c r="X8" s="184" t="s">
        <v>466</v>
      </c>
      <c r="Y8" s="184" t="s">
        <v>477</v>
      </c>
      <c r="Z8" s="184" t="s">
        <v>392</v>
      </c>
      <c r="AA8" s="184" t="s">
        <v>478</v>
      </c>
      <c r="AB8" s="184" t="s">
        <v>319</v>
      </c>
      <c r="AC8" s="184" t="s">
        <v>391</v>
      </c>
      <c r="AD8" s="184" t="s">
        <v>319</v>
      </c>
      <c r="AE8" s="184" t="s">
        <v>319</v>
      </c>
      <c r="AF8" s="184" t="s">
        <v>319</v>
      </c>
      <c r="AG8" s="185" t="s">
        <v>479</v>
      </c>
      <c r="AH8" s="185" t="s">
        <v>480</v>
      </c>
      <c r="AI8" s="174" t="s">
        <v>392</v>
      </c>
      <c r="AJ8" s="174" t="s">
        <v>319</v>
      </c>
      <c r="AK8" s="174" t="s">
        <v>319</v>
      </c>
      <c r="AL8" s="174" t="s">
        <v>319</v>
      </c>
      <c r="AM8" s="174" t="s">
        <v>392</v>
      </c>
      <c r="AN8" s="174" t="s">
        <v>319</v>
      </c>
      <c r="AO8" s="174" t="s">
        <v>690</v>
      </c>
      <c r="AP8" s="174" t="s">
        <v>391</v>
      </c>
      <c r="AQ8" s="174" t="s">
        <v>319</v>
      </c>
      <c r="AR8" s="174" t="s">
        <v>319</v>
      </c>
      <c r="AS8" s="174" t="s">
        <v>392</v>
      </c>
      <c r="AT8" s="174" t="s">
        <v>392</v>
      </c>
      <c r="AU8" s="174" t="s">
        <v>319</v>
      </c>
      <c r="AV8" s="174" t="s">
        <v>392</v>
      </c>
      <c r="AW8" s="174" t="s">
        <v>319</v>
      </c>
      <c r="AX8" s="174" t="s">
        <v>319</v>
      </c>
      <c r="AY8" s="174" t="s">
        <v>319</v>
      </c>
      <c r="AZ8" s="174" t="s">
        <v>391</v>
      </c>
      <c r="BA8" s="174" t="s">
        <v>691</v>
      </c>
      <c r="BB8" s="174" t="s">
        <v>319</v>
      </c>
      <c r="BC8" s="174" t="s">
        <v>319</v>
      </c>
      <c r="BD8" s="174" t="s">
        <v>319</v>
      </c>
      <c r="BE8" s="174" t="s">
        <v>319</v>
      </c>
      <c r="BF8" s="174" t="s">
        <v>319</v>
      </c>
      <c r="BG8" s="174" t="s">
        <v>391</v>
      </c>
      <c r="BH8" s="174" t="s">
        <v>319</v>
      </c>
      <c r="BI8" s="162" t="s">
        <v>319</v>
      </c>
      <c r="BJ8" s="162" t="s">
        <v>319</v>
      </c>
      <c r="BK8" s="162" t="s">
        <v>319</v>
      </c>
      <c r="BL8" s="162" t="s">
        <v>319</v>
      </c>
      <c r="BM8" s="162" t="s">
        <v>392</v>
      </c>
      <c r="BN8" s="162" t="s">
        <v>319</v>
      </c>
      <c r="BO8" s="162" t="s">
        <v>391</v>
      </c>
      <c r="BP8" s="162" t="s">
        <v>392</v>
      </c>
      <c r="BQ8" s="162" t="s">
        <v>392</v>
      </c>
      <c r="BR8" s="162" t="s">
        <v>392</v>
      </c>
      <c r="BS8" s="162" t="s">
        <v>319</v>
      </c>
      <c r="BT8" s="162" t="s">
        <v>692</v>
      </c>
      <c r="BU8" s="162" t="s">
        <v>319</v>
      </c>
      <c r="BV8" s="162" t="s">
        <v>392</v>
      </c>
    </row>
    <row r="9" spans="1:74" x14ac:dyDescent="0.55000000000000004">
      <c r="A9" s="184" t="s">
        <v>180</v>
      </c>
      <c r="B9" s="185" t="s">
        <v>132</v>
      </c>
      <c r="C9" s="203" t="s">
        <v>391</v>
      </c>
      <c r="D9" s="203" t="s">
        <v>391</v>
      </c>
      <c r="E9" s="203" t="s">
        <v>391</v>
      </c>
      <c r="F9" s="203" t="s">
        <v>391</v>
      </c>
      <c r="G9" s="203" t="s">
        <v>391</v>
      </c>
      <c r="H9" s="203" t="s">
        <v>398</v>
      </c>
      <c r="I9" s="203" t="s">
        <v>391</v>
      </c>
      <c r="J9" s="203" t="s">
        <v>391</v>
      </c>
      <c r="K9" s="203" t="s">
        <v>319</v>
      </c>
      <c r="L9" s="203" t="s">
        <v>399</v>
      </c>
      <c r="M9" s="203" t="s">
        <v>405</v>
      </c>
      <c r="N9" s="203" t="s">
        <v>394</v>
      </c>
      <c r="O9" s="203" t="s">
        <v>406</v>
      </c>
      <c r="P9" s="203" t="s">
        <v>396</v>
      </c>
      <c r="Q9" s="186" t="s">
        <v>481</v>
      </c>
      <c r="R9" s="184" t="s">
        <v>319</v>
      </c>
      <c r="S9" s="184" t="s">
        <v>319</v>
      </c>
      <c r="T9" s="184" t="s">
        <v>319</v>
      </c>
      <c r="U9" s="184" t="s">
        <v>319</v>
      </c>
      <c r="V9" s="184" t="s">
        <v>319</v>
      </c>
      <c r="W9" s="184" t="s">
        <v>482</v>
      </c>
      <c r="X9" s="184" t="s">
        <v>319</v>
      </c>
      <c r="Y9" s="184" t="s">
        <v>319</v>
      </c>
      <c r="Z9" s="184" t="s">
        <v>319</v>
      </c>
      <c r="AA9" s="184" t="s">
        <v>391</v>
      </c>
      <c r="AB9" s="184" t="s">
        <v>319</v>
      </c>
      <c r="AC9" s="184" t="s">
        <v>391</v>
      </c>
      <c r="AD9" s="184" t="s">
        <v>319</v>
      </c>
      <c r="AE9" s="184" t="s">
        <v>319</v>
      </c>
      <c r="AF9" s="184" t="s">
        <v>319</v>
      </c>
      <c r="AG9" s="185" t="s">
        <v>483</v>
      </c>
      <c r="AH9" s="185" t="s">
        <v>319</v>
      </c>
      <c r="AI9" s="174" t="s">
        <v>319</v>
      </c>
      <c r="AJ9" s="174" t="s">
        <v>319</v>
      </c>
      <c r="AK9" s="174" t="s">
        <v>319</v>
      </c>
      <c r="AL9" s="174" t="s">
        <v>319</v>
      </c>
      <c r="AM9" s="174" t="s">
        <v>319</v>
      </c>
      <c r="AN9" s="174" t="s">
        <v>319</v>
      </c>
      <c r="AO9" s="174" t="s">
        <v>319</v>
      </c>
      <c r="AP9" s="174" t="s">
        <v>392</v>
      </c>
      <c r="AQ9" s="174" t="s">
        <v>319</v>
      </c>
      <c r="AR9" s="174" t="s">
        <v>319</v>
      </c>
      <c r="AS9" s="174" t="s">
        <v>392</v>
      </c>
      <c r="AT9" s="174" t="s">
        <v>319</v>
      </c>
      <c r="AU9" s="174" t="s">
        <v>392</v>
      </c>
      <c r="AV9" s="174" t="s">
        <v>319</v>
      </c>
      <c r="AW9" s="174" t="s">
        <v>392</v>
      </c>
      <c r="AX9" s="174" t="s">
        <v>319</v>
      </c>
      <c r="AY9" s="174" t="s">
        <v>693</v>
      </c>
      <c r="AZ9" s="174" t="s">
        <v>391</v>
      </c>
      <c r="BA9" s="174" t="s">
        <v>319</v>
      </c>
      <c r="BB9" s="174" t="s">
        <v>319</v>
      </c>
      <c r="BC9" s="174" t="s">
        <v>319</v>
      </c>
      <c r="BD9" s="174" t="s">
        <v>319</v>
      </c>
      <c r="BE9" s="174" t="s">
        <v>319</v>
      </c>
      <c r="BF9" s="174" t="s">
        <v>319</v>
      </c>
      <c r="BG9" s="174" t="s">
        <v>392</v>
      </c>
      <c r="BH9" s="174" t="s">
        <v>319</v>
      </c>
      <c r="BI9" s="162" t="s">
        <v>319</v>
      </c>
      <c r="BJ9" s="162" t="s">
        <v>392</v>
      </c>
      <c r="BK9" s="162" t="s">
        <v>319</v>
      </c>
      <c r="BL9" s="162" t="s">
        <v>319</v>
      </c>
      <c r="BM9" s="162" t="s">
        <v>319</v>
      </c>
      <c r="BN9" s="162" t="s">
        <v>319</v>
      </c>
      <c r="BO9" s="162" t="s">
        <v>391</v>
      </c>
      <c r="BP9" s="162" t="s">
        <v>319</v>
      </c>
      <c r="BQ9" s="162" t="s">
        <v>319</v>
      </c>
      <c r="BR9" s="162" t="s">
        <v>319</v>
      </c>
      <c r="BS9" s="162" t="s">
        <v>319</v>
      </c>
      <c r="BT9" s="162" t="s">
        <v>319</v>
      </c>
      <c r="BU9" s="162" t="s">
        <v>319</v>
      </c>
      <c r="BV9" s="162" t="s">
        <v>319</v>
      </c>
    </row>
    <row r="10" spans="1:74" x14ac:dyDescent="0.55000000000000004">
      <c r="A10" s="184" t="s">
        <v>181</v>
      </c>
      <c r="B10" s="185" t="s">
        <v>135</v>
      </c>
      <c r="C10" s="203" t="s">
        <v>391</v>
      </c>
      <c r="D10" s="203" t="s">
        <v>391</v>
      </c>
      <c r="E10" s="203" t="s">
        <v>391</v>
      </c>
      <c r="F10" s="203" t="s">
        <v>391</v>
      </c>
      <c r="G10" s="203" t="s">
        <v>391</v>
      </c>
      <c r="H10" s="203" t="s">
        <v>408</v>
      </c>
      <c r="I10" s="203" t="s">
        <v>391</v>
      </c>
      <c r="J10" s="203" t="s">
        <v>391</v>
      </c>
      <c r="K10" s="203" t="s">
        <v>319</v>
      </c>
      <c r="L10" s="203" t="s">
        <v>319</v>
      </c>
      <c r="M10" s="203" t="s">
        <v>319</v>
      </c>
      <c r="N10" s="203" t="s">
        <v>394</v>
      </c>
      <c r="O10" s="203" t="s">
        <v>319</v>
      </c>
      <c r="P10" s="203" t="s">
        <v>396</v>
      </c>
      <c r="Q10" s="186" t="s">
        <v>484</v>
      </c>
      <c r="R10" s="184" t="s">
        <v>319</v>
      </c>
      <c r="S10" s="184" t="s">
        <v>485</v>
      </c>
      <c r="T10" s="184" t="s">
        <v>319</v>
      </c>
      <c r="U10" s="184" t="s">
        <v>319</v>
      </c>
      <c r="V10" s="184" t="s">
        <v>319</v>
      </c>
      <c r="W10" s="184" t="s">
        <v>482</v>
      </c>
      <c r="X10" s="184" t="s">
        <v>466</v>
      </c>
      <c r="Y10" s="184" t="s">
        <v>486</v>
      </c>
      <c r="Z10" s="184" t="s">
        <v>392</v>
      </c>
      <c r="AA10" s="184" t="s">
        <v>486</v>
      </c>
      <c r="AB10" s="184" t="s">
        <v>319</v>
      </c>
      <c r="AC10" s="184" t="s">
        <v>391</v>
      </c>
      <c r="AD10" s="184" t="s">
        <v>319</v>
      </c>
      <c r="AE10" s="184" t="s">
        <v>319</v>
      </c>
      <c r="AF10" s="184" t="s">
        <v>319</v>
      </c>
      <c r="AG10" s="185" t="s">
        <v>487</v>
      </c>
      <c r="AH10" s="185" t="s">
        <v>488</v>
      </c>
      <c r="AI10" s="174" t="s">
        <v>319</v>
      </c>
      <c r="AJ10" s="174" t="s">
        <v>319</v>
      </c>
      <c r="AK10" s="174" t="s">
        <v>319</v>
      </c>
      <c r="AL10" s="174" t="s">
        <v>319</v>
      </c>
      <c r="AM10" s="174" t="s">
        <v>319</v>
      </c>
      <c r="AN10" s="174" t="s">
        <v>319</v>
      </c>
      <c r="AO10" s="174" t="s">
        <v>319</v>
      </c>
      <c r="AP10" s="174" t="s">
        <v>392</v>
      </c>
      <c r="AQ10" s="174" t="s">
        <v>319</v>
      </c>
      <c r="AR10" s="174" t="s">
        <v>319</v>
      </c>
      <c r="AS10" s="174" t="s">
        <v>319</v>
      </c>
      <c r="AT10" s="174" t="s">
        <v>319</v>
      </c>
      <c r="AU10" s="174" t="s">
        <v>319</v>
      </c>
      <c r="AV10" s="174" t="s">
        <v>319</v>
      </c>
      <c r="AW10" s="174" t="s">
        <v>319</v>
      </c>
      <c r="AX10" s="174" t="s">
        <v>319</v>
      </c>
      <c r="AY10" s="174" t="s">
        <v>319</v>
      </c>
      <c r="AZ10" s="174" t="s">
        <v>392</v>
      </c>
      <c r="BA10" s="174" t="s">
        <v>319</v>
      </c>
      <c r="BB10" s="174" t="s">
        <v>319</v>
      </c>
      <c r="BC10" s="174" t="s">
        <v>319</v>
      </c>
      <c r="BD10" s="174" t="s">
        <v>319</v>
      </c>
      <c r="BE10" s="174" t="s">
        <v>319</v>
      </c>
      <c r="BF10" s="174" t="s">
        <v>319</v>
      </c>
      <c r="BG10" s="174" t="s">
        <v>392</v>
      </c>
      <c r="BH10" s="174" t="s">
        <v>319</v>
      </c>
      <c r="BI10" s="162" t="s">
        <v>319</v>
      </c>
      <c r="BJ10" s="162" t="s">
        <v>319</v>
      </c>
      <c r="BK10" s="162" t="s">
        <v>319</v>
      </c>
      <c r="BL10" s="162" t="s">
        <v>319</v>
      </c>
      <c r="BM10" s="162" t="s">
        <v>319</v>
      </c>
      <c r="BN10" s="162" t="s">
        <v>319</v>
      </c>
      <c r="BO10" s="162" t="s">
        <v>392</v>
      </c>
      <c r="BP10" s="162" t="s">
        <v>319</v>
      </c>
      <c r="BQ10" s="162" t="s">
        <v>319</v>
      </c>
      <c r="BR10" s="162" t="s">
        <v>319</v>
      </c>
      <c r="BS10" s="162" t="s">
        <v>319</v>
      </c>
      <c r="BT10" s="162" t="s">
        <v>319</v>
      </c>
      <c r="BU10" s="162" t="s">
        <v>319</v>
      </c>
      <c r="BV10" s="162" t="s">
        <v>319</v>
      </c>
    </row>
    <row r="11" spans="1:74" x14ac:dyDescent="0.55000000000000004">
      <c r="A11" s="184" t="s">
        <v>182</v>
      </c>
      <c r="B11" s="185" t="s">
        <v>138</v>
      </c>
      <c r="C11" s="203" t="s">
        <v>391</v>
      </c>
      <c r="D11" s="203" t="s">
        <v>391</v>
      </c>
      <c r="E11" s="203" t="s">
        <v>391</v>
      </c>
      <c r="F11" s="203" t="s">
        <v>391</v>
      </c>
      <c r="G11" s="203" t="s">
        <v>391</v>
      </c>
      <c r="H11" s="203" t="s">
        <v>398</v>
      </c>
      <c r="I11" s="203" t="s">
        <v>391</v>
      </c>
      <c r="J11" s="203" t="s">
        <v>391</v>
      </c>
      <c r="K11" s="203" t="s">
        <v>410</v>
      </c>
      <c r="L11" s="203" t="s">
        <v>319</v>
      </c>
      <c r="M11" s="203" t="s">
        <v>405</v>
      </c>
      <c r="N11" s="203" t="s">
        <v>394</v>
      </c>
      <c r="O11" s="203" t="s">
        <v>406</v>
      </c>
      <c r="P11" s="203" t="s">
        <v>396</v>
      </c>
      <c r="Q11" s="184" t="s">
        <v>481</v>
      </c>
      <c r="R11" s="184" t="s">
        <v>319</v>
      </c>
      <c r="S11" s="184" t="s">
        <v>707</v>
      </c>
      <c r="T11" s="184" t="s">
        <v>319</v>
      </c>
      <c r="U11" s="184" t="s">
        <v>319</v>
      </c>
      <c r="V11" s="184" t="s">
        <v>319</v>
      </c>
      <c r="W11" s="184" t="s">
        <v>482</v>
      </c>
      <c r="X11" s="184" t="s">
        <v>466</v>
      </c>
      <c r="Y11" s="184" t="s">
        <v>489</v>
      </c>
      <c r="Z11" s="184" t="s">
        <v>392</v>
      </c>
      <c r="AA11" s="184" t="s">
        <v>490</v>
      </c>
      <c r="AB11" s="184" t="s">
        <v>319</v>
      </c>
      <c r="AC11" s="184" t="s">
        <v>391</v>
      </c>
      <c r="AD11" s="184" t="s">
        <v>319</v>
      </c>
      <c r="AE11" s="184" t="s">
        <v>319</v>
      </c>
      <c r="AF11" s="184" t="s">
        <v>319</v>
      </c>
      <c r="AG11" s="185" t="s">
        <v>491</v>
      </c>
      <c r="AH11" s="185" t="s">
        <v>488</v>
      </c>
      <c r="AI11" s="174" t="s">
        <v>392</v>
      </c>
      <c r="AJ11" s="174" t="s">
        <v>319</v>
      </c>
      <c r="AK11" s="174" t="s">
        <v>694</v>
      </c>
      <c r="AL11" s="174" t="s">
        <v>319</v>
      </c>
      <c r="AM11" s="174" t="s">
        <v>319</v>
      </c>
      <c r="AN11" s="174" t="s">
        <v>319</v>
      </c>
      <c r="AO11" s="174" t="s">
        <v>687</v>
      </c>
      <c r="AP11" s="174" t="s">
        <v>391</v>
      </c>
      <c r="AQ11" s="174" t="s">
        <v>319</v>
      </c>
      <c r="AR11" s="174" t="s">
        <v>392</v>
      </c>
      <c r="AS11" s="174" t="s">
        <v>392</v>
      </c>
      <c r="AT11" s="174" t="s">
        <v>319</v>
      </c>
      <c r="AU11" s="174" t="s">
        <v>392</v>
      </c>
      <c r="AV11" s="174" t="s">
        <v>319</v>
      </c>
      <c r="AW11" s="174" t="s">
        <v>392</v>
      </c>
      <c r="AX11" s="174" t="s">
        <v>392</v>
      </c>
      <c r="AY11" s="174" t="s">
        <v>693</v>
      </c>
      <c r="AZ11" s="174" t="s">
        <v>391</v>
      </c>
      <c r="BA11" s="174" t="s">
        <v>319</v>
      </c>
      <c r="BB11" s="174" t="s">
        <v>319</v>
      </c>
      <c r="BC11" s="174" t="s">
        <v>392</v>
      </c>
      <c r="BD11" s="174" t="s">
        <v>319</v>
      </c>
      <c r="BE11" s="174" t="s">
        <v>392</v>
      </c>
      <c r="BF11" s="174" t="s">
        <v>319</v>
      </c>
      <c r="BG11" s="174" t="s">
        <v>391</v>
      </c>
      <c r="BH11" s="174" t="s">
        <v>319</v>
      </c>
      <c r="BI11" s="162" t="s">
        <v>319</v>
      </c>
      <c r="BJ11" s="162" t="s">
        <v>392</v>
      </c>
      <c r="BK11" s="162" t="s">
        <v>319</v>
      </c>
      <c r="BL11" s="162" t="s">
        <v>319</v>
      </c>
      <c r="BM11" s="162" t="s">
        <v>319</v>
      </c>
      <c r="BN11" s="162" t="s">
        <v>695</v>
      </c>
      <c r="BO11" s="162" t="s">
        <v>391</v>
      </c>
      <c r="BP11" s="162" t="s">
        <v>319</v>
      </c>
      <c r="BQ11" s="162" t="s">
        <v>319</v>
      </c>
      <c r="BR11" s="162" t="s">
        <v>319</v>
      </c>
      <c r="BS11" s="162" t="s">
        <v>392</v>
      </c>
      <c r="BT11" s="162" t="s">
        <v>391</v>
      </c>
      <c r="BU11" s="162" t="s">
        <v>319</v>
      </c>
      <c r="BV11" s="162" t="s">
        <v>392</v>
      </c>
    </row>
    <row r="12" spans="1:74" ht="50.4" x14ac:dyDescent="0.55000000000000004">
      <c r="A12" s="184" t="s">
        <v>183</v>
      </c>
      <c r="B12" s="185" t="s">
        <v>141</v>
      </c>
      <c r="C12" s="203" t="s">
        <v>391</v>
      </c>
      <c r="D12" s="203" t="s">
        <v>391</v>
      </c>
      <c r="E12" s="203" t="s">
        <v>391</v>
      </c>
      <c r="F12" s="203" t="s">
        <v>391</v>
      </c>
      <c r="G12" s="203" t="s">
        <v>391</v>
      </c>
      <c r="H12" s="203" t="s">
        <v>398</v>
      </c>
      <c r="I12" s="203" t="s">
        <v>391</v>
      </c>
      <c r="J12" s="203" t="s">
        <v>412</v>
      </c>
      <c r="K12" s="203" t="s">
        <v>413</v>
      </c>
      <c r="L12" s="203" t="s">
        <v>319</v>
      </c>
      <c r="M12" s="203" t="s">
        <v>319</v>
      </c>
      <c r="N12" s="203" t="s">
        <v>414</v>
      </c>
      <c r="O12" s="203" t="s">
        <v>415</v>
      </c>
      <c r="P12" s="203" t="s">
        <v>416</v>
      </c>
      <c r="Q12" s="184" t="s">
        <v>492</v>
      </c>
      <c r="R12" s="184" t="s">
        <v>319</v>
      </c>
      <c r="S12" s="184" t="s">
        <v>493</v>
      </c>
      <c r="T12" s="184" t="s">
        <v>319</v>
      </c>
      <c r="U12" s="184" t="s">
        <v>494</v>
      </c>
      <c r="V12" s="184" t="s">
        <v>319</v>
      </c>
      <c r="W12" s="184" t="s">
        <v>495</v>
      </c>
      <c r="X12" s="184" t="s">
        <v>466</v>
      </c>
      <c r="Y12" s="184" t="s">
        <v>496</v>
      </c>
      <c r="Z12" s="184" t="s">
        <v>392</v>
      </c>
      <c r="AA12" s="184" t="s">
        <v>497</v>
      </c>
      <c r="AB12" s="184" t="s">
        <v>319</v>
      </c>
      <c r="AC12" s="184" t="s">
        <v>391</v>
      </c>
      <c r="AD12" s="184" t="s">
        <v>319</v>
      </c>
      <c r="AE12" s="184" t="s">
        <v>319</v>
      </c>
      <c r="AF12" s="184" t="s">
        <v>319</v>
      </c>
      <c r="AG12" s="185" t="s">
        <v>498</v>
      </c>
      <c r="AH12" s="185" t="s">
        <v>499</v>
      </c>
      <c r="AI12" s="174" t="s">
        <v>392</v>
      </c>
      <c r="AJ12" s="174" t="s">
        <v>319</v>
      </c>
      <c r="AK12" s="174" t="s">
        <v>319</v>
      </c>
      <c r="AL12" s="174" t="s">
        <v>392</v>
      </c>
      <c r="AM12" s="174" t="s">
        <v>392</v>
      </c>
      <c r="AN12" s="174" t="s">
        <v>319</v>
      </c>
      <c r="AO12" s="177" t="s">
        <v>696</v>
      </c>
      <c r="AP12" s="174" t="s">
        <v>391</v>
      </c>
      <c r="AQ12" s="174" t="s">
        <v>319</v>
      </c>
      <c r="AR12" s="174" t="s">
        <v>392</v>
      </c>
      <c r="AS12" s="174" t="s">
        <v>392</v>
      </c>
      <c r="AT12" s="174" t="s">
        <v>392</v>
      </c>
      <c r="AU12" s="174" t="s">
        <v>319</v>
      </c>
      <c r="AV12" s="174" t="s">
        <v>392</v>
      </c>
      <c r="AW12" s="174" t="s">
        <v>319</v>
      </c>
      <c r="AX12" s="174" t="s">
        <v>392</v>
      </c>
      <c r="AY12" s="174" t="s">
        <v>697</v>
      </c>
      <c r="AZ12" s="174" t="s">
        <v>391</v>
      </c>
      <c r="BA12" s="174" t="s">
        <v>319</v>
      </c>
      <c r="BB12" s="174" t="s">
        <v>319</v>
      </c>
      <c r="BC12" s="174" t="s">
        <v>392</v>
      </c>
      <c r="BD12" s="174" t="s">
        <v>319</v>
      </c>
      <c r="BE12" s="174" t="s">
        <v>319</v>
      </c>
      <c r="BF12" s="174" t="s">
        <v>698</v>
      </c>
      <c r="BG12" s="174" t="s">
        <v>391</v>
      </c>
      <c r="BH12" s="174" t="s">
        <v>319</v>
      </c>
      <c r="BI12" s="162" t="s">
        <v>319</v>
      </c>
      <c r="BJ12" s="162" t="s">
        <v>319</v>
      </c>
      <c r="BK12" s="162" t="s">
        <v>392</v>
      </c>
      <c r="BL12" s="162" t="s">
        <v>392</v>
      </c>
      <c r="BM12" s="162" t="s">
        <v>392</v>
      </c>
      <c r="BN12" s="162" t="s">
        <v>319</v>
      </c>
      <c r="BO12" s="162" t="s">
        <v>391</v>
      </c>
      <c r="BP12" s="162" t="s">
        <v>392</v>
      </c>
      <c r="BQ12" s="162" t="s">
        <v>392</v>
      </c>
      <c r="BR12" s="162" t="s">
        <v>392</v>
      </c>
      <c r="BS12" s="163" t="s">
        <v>699</v>
      </c>
      <c r="BT12" s="162" t="s">
        <v>700</v>
      </c>
      <c r="BU12" s="162" t="s">
        <v>319</v>
      </c>
      <c r="BV12" s="162" t="s">
        <v>392</v>
      </c>
    </row>
    <row r="13" spans="1:74" x14ac:dyDescent="0.55000000000000004">
      <c r="A13" s="184" t="s">
        <v>417</v>
      </c>
      <c r="B13" s="185" t="s">
        <v>144</v>
      </c>
      <c r="C13" s="203" t="s">
        <v>391</v>
      </c>
      <c r="D13" s="203" t="s">
        <v>391</v>
      </c>
      <c r="E13" s="203" t="s">
        <v>391</v>
      </c>
      <c r="F13" s="203" t="s">
        <v>391</v>
      </c>
      <c r="G13" s="203" t="s">
        <v>391</v>
      </c>
      <c r="H13" s="203" t="s">
        <v>418</v>
      </c>
      <c r="I13" s="203" t="s">
        <v>391</v>
      </c>
      <c r="J13" s="203" t="s">
        <v>391</v>
      </c>
      <c r="K13" s="203" t="s">
        <v>419</v>
      </c>
      <c r="L13" s="203" t="s">
        <v>319</v>
      </c>
      <c r="M13" s="203" t="s">
        <v>420</v>
      </c>
      <c r="N13" s="203" t="s">
        <v>421</v>
      </c>
      <c r="O13" s="203" t="s">
        <v>422</v>
      </c>
      <c r="P13" s="203" t="s">
        <v>416</v>
      </c>
      <c r="Q13" s="184" t="s">
        <v>500</v>
      </c>
      <c r="R13" s="184" t="s">
        <v>319</v>
      </c>
      <c r="S13" s="184" t="s">
        <v>319</v>
      </c>
      <c r="T13" s="184" t="s">
        <v>319</v>
      </c>
      <c r="U13" s="184" t="s">
        <v>319</v>
      </c>
      <c r="V13" s="184" t="s">
        <v>319</v>
      </c>
      <c r="W13" s="184" t="s">
        <v>501</v>
      </c>
      <c r="X13" s="184" t="s">
        <v>466</v>
      </c>
      <c r="Y13" s="184" t="s">
        <v>502</v>
      </c>
      <c r="Z13" s="184" t="s">
        <v>319</v>
      </c>
      <c r="AA13" s="184" t="s">
        <v>319</v>
      </c>
      <c r="AB13" s="184" t="s">
        <v>319</v>
      </c>
      <c r="AC13" s="184" t="s">
        <v>391</v>
      </c>
      <c r="AD13" s="184" t="s">
        <v>319</v>
      </c>
      <c r="AE13" s="184" t="s">
        <v>319</v>
      </c>
      <c r="AF13" s="184" t="s">
        <v>319</v>
      </c>
      <c r="AG13" s="185" t="s">
        <v>503</v>
      </c>
      <c r="AH13" s="185" t="s">
        <v>319</v>
      </c>
      <c r="AI13" s="174" t="s">
        <v>392</v>
      </c>
      <c r="AJ13" s="174" t="s">
        <v>392</v>
      </c>
      <c r="AK13" s="174" t="s">
        <v>319</v>
      </c>
      <c r="AL13" s="174" t="s">
        <v>319</v>
      </c>
      <c r="AM13" s="174" t="s">
        <v>392</v>
      </c>
      <c r="AN13" s="174" t="s">
        <v>319</v>
      </c>
      <c r="AO13" s="174" t="s">
        <v>319</v>
      </c>
      <c r="AP13" s="174" t="s">
        <v>391</v>
      </c>
      <c r="AQ13" s="174" t="s">
        <v>319</v>
      </c>
      <c r="AR13" s="174" t="s">
        <v>319</v>
      </c>
      <c r="AS13" s="174" t="s">
        <v>392</v>
      </c>
      <c r="AT13" s="174" t="s">
        <v>392</v>
      </c>
      <c r="AU13" s="174" t="s">
        <v>319</v>
      </c>
      <c r="AV13" s="174" t="s">
        <v>392</v>
      </c>
      <c r="AW13" s="174" t="s">
        <v>392</v>
      </c>
      <c r="AX13" s="174" t="s">
        <v>392</v>
      </c>
      <c r="AY13" s="174" t="s">
        <v>319</v>
      </c>
      <c r="AZ13" s="174" t="s">
        <v>391</v>
      </c>
      <c r="BA13" s="174" t="s">
        <v>701</v>
      </c>
      <c r="BB13" s="174" t="s">
        <v>319</v>
      </c>
      <c r="BC13" s="174" t="s">
        <v>392</v>
      </c>
      <c r="BD13" s="174" t="s">
        <v>319</v>
      </c>
      <c r="BE13" s="174" t="s">
        <v>319</v>
      </c>
      <c r="BF13" s="174" t="s">
        <v>319</v>
      </c>
      <c r="BG13" s="174" t="s">
        <v>391</v>
      </c>
      <c r="BH13" s="174" t="s">
        <v>319</v>
      </c>
      <c r="BI13" s="162" t="s">
        <v>319</v>
      </c>
      <c r="BJ13" s="162" t="s">
        <v>319</v>
      </c>
      <c r="BK13" s="162" t="s">
        <v>319</v>
      </c>
      <c r="BL13" s="162" t="s">
        <v>319</v>
      </c>
      <c r="BM13" s="162" t="s">
        <v>319</v>
      </c>
      <c r="BN13" s="162" t="s">
        <v>319</v>
      </c>
      <c r="BO13" s="162" t="s">
        <v>392</v>
      </c>
      <c r="BP13" s="162" t="s">
        <v>319</v>
      </c>
      <c r="BQ13" s="162" t="s">
        <v>319</v>
      </c>
      <c r="BR13" s="162" t="s">
        <v>392</v>
      </c>
      <c r="BS13" s="162" t="s">
        <v>319</v>
      </c>
      <c r="BT13" s="162" t="s">
        <v>391</v>
      </c>
      <c r="BU13" s="162" t="s">
        <v>319</v>
      </c>
      <c r="BV13" s="162" t="s">
        <v>392</v>
      </c>
    </row>
    <row r="14" spans="1:74" x14ac:dyDescent="0.55000000000000004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70"/>
      <c r="AO14" s="28"/>
      <c r="AP14" s="70"/>
      <c r="AQ14" s="28"/>
      <c r="AR14" s="28"/>
      <c r="AS14" s="28"/>
      <c r="AT14" s="28"/>
      <c r="AU14" s="28"/>
      <c r="AV14" s="28"/>
      <c r="AW14" s="28"/>
      <c r="AX14" s="70"/>
      <c r="AY14" s="28"/>
      <c r="AZ14" s="70"/>
      <c r="BA14" s="28"/>
      <c r="BB14" s="28"/>
      <c r="BC14" s="28"/>
      <c r="BD14" s="28"/>
      <c r="BE14" s="28"/>
      <c r="BF14" s="28"/>
      <c r="BG14" s="70"/>
      <c r="BH14" s="28"/>
      <c r="BI14" s="28"/>
      <c r="BJ14" s="28"/>
      <c r="BK14" s="28"/>
      <c r="BL14" s="28"/>
      <c r="BM14" s="28"/>
      <c r="BN14" s="70"/>
      <c r="BO14" s="70"/>
      <c r="BP14" s="28"/>
      <c r="BQ14" s="28"/>
      <c r="BR14" s="28"/>
      <c r="BS14" s="28"/>
      <c r="BT14" s="28"/>
      <c r="BU14" s="28"/>
      <c r="BV14" s="28"/>
    </row>
    <row r="15" spans="1:74" x14ac:dyDescent="0.55000000000000004">
      <c r="A15" s="71" t="s">
        <v>31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72"/>
      <c r="BG15" s="72"/>
      <c r="BH15" s="72"/>
      <c r="BI15" s="72"/>
      <c r="BJ15" s="72"/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BU15" s="72"/>
      <c r="BV15" s="73"/>
    </row>
    <row r="16" spans="1:74" x14ac:dyDescent="0.55000000000000004">
      <c r="A16" s="28"/>
      <c r="B16" s="28"/>
      <c r="C16" s="204" t="s">
        <v>364</v>
      </c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6"/>
      <c r="Q16" s="187" t="s">
        <v>444</v>
      </c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166"/>
      <c r="BB16" s="166"/>
      <c r="BC16" s="166"/>
      <c r="BD16" s="166"/>
      <c r="BE16" s="166"/>
      <c r="BF16" s="166"/>
      <c r="BG16" s="166"/>
      <c r="BH16" s="166"/>
      <c r="BI16" s="164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</row>
    <row r="17" spans="1:74" ht="25.2" x14ac:dyDescent="0.55000000000000004">
      <c r="A17" s="28"/>
      <c r="B17" s="28"/>
      <c r="C17" s="197" t="s">
        <v>365</v>
      </c>
      <c r="D17" s="198"/>
      <c r="E17" s="198"/>
      <c r="F17" s="198"/>
      <c r="G17" s="198"/>
      <c r="H17" s="198"/>
      <c r="I17" s="198"/>
      <c r="J17" s="198"/>
      <c r="K17" s="198"/>
      <c r="L17" s="198" t="s">
        <v>366</v>
      </c>
      <c r="M17" s="198"/>
      <c r="N17" s="198"/>
      <c r="O17" s="198"/>
      <c r="P17" s="199"/>
      <c r="Q17" s="180" t="s">
        <v>445</v>
      </c>
      <c r="R17" s="179" t="s">
        <v>832</v>
      </c>
      <c r="S17" s="179"/>
      <c r="T17" s="179"/>
      <c r="U17" s="179"/>
      <c r="V17" s="181"/>
      <c r="W17" s="180"/>
      <c r="X17" s="178" t="s">
        <v>833</v>
      </c>
      <c r="Y17" s="181"/>
      <c r="Z17" s="178" t="s">
        <v>446</v>
      </c>
      <c r="AA17" s="179"/>
      <c r="AB17" s="179"/>
      <c r="AC17" s="181"/>
      <c r="AD17" s="178" t="s">
        <v>447</v>
      </c>
      <c r="AE17" s="179"/>
      <c r="AF17" s="181"/>
      <c r="AG17" s="178" t="s">
        <v>448</v>
      </c>
      <c r="AH17" s="181"/>
      <c r="AI17" s="167"/>
      <c r="AJ17" s="168"/>
      <c r="AK17" s="168"/>
      <c r="AL17" s="168"/>
      <c r="AM17" s="168"/>
      <c r="AN17" s="168"/>
      <c r="AO17" s="168"/>
      <c r="AP17" s="169"/>
      <c r="AQ17" s="167"/>
      <c r="AR17" s="168"/>
      <c r="AS17" s="168"/>
      <c r="AT17" s="168"/>
      <c r="AU17" s="168"/>
      <c r="AV17" s="168"/>
      <c r="AW17" s="168"/>
      <c r="AX17" s="168"/>
      <c r="AY17" s="168"/>
      <c r="AZ17" s="169"/>
      <c r="BA17" s="167"/>
      <c r="BB17" s="168"/>
      <c r="BC17" s="168"/>
      <c r="BD17" s="168"/>
      <c r="BE17" s="168"/>
      <c r="BF17" s="168"/>
      <c r="BG17" s="169"/>
      <c r="BH17" s="170"/>
      <c r="BI17" s="159"/>
      <c r="BJ17" s="160"/>
      <c r="BK17" s="160"/>
      <c r="BL17" s="160"/>
      <c r="BM17" s="160"/>
      <c r="BN17" s="160"/>
      <c r="BO17" s="161"/>
      <c r="BP17" s="149" t="s">
        <v>1083</v>
      </c>
      <c r="BQ17" s="153"/>
      <c r="BR17" s="149" t="s">
        <v>648</v>
      </c>
      <c r="BS17" s="153"/>
      <c r="BT17" s="153"/>
      <c r="BU17" s="150"/>
      <c r="BV17" s="121" t="s">
        <v>649</v>
      </c>
    </row>
    <row r="18" spans="1:74" ht="37.799999999999997" x14ac:dyDescent="0.55000000000000004">
      <c r="A18" s="195" t="s">
        <v>33</v>
      </c>
      <c r="B18" s="180" t="s">
        <v>63</v>
      </c>
      <c r="C18" s="197" t="s">
        <v>367</v>
      </c>
      <c r="D18" s="198"/>
      <c r="E18" s="198"/>
      <c r="F18" s="198"/>
      <c r="G18" s="198"/>
      <c r="H18" s="198"/>
      <c r="I18" s="198"/>
      <c r="J18" s="199"/>
      <c r="K18" s="201" t="s">
        <v>423</v>
      </c>
      <c r="L18" s="201" t="s">
        <v>369</v>
      </c>
      <c r="M18" s="201" t="s">
        <v>370</v>
      </c>
      <c r="N18" s="201" t="s">
        <v>371</v>
      </c>
      <c r="O18" s="201" t="s">
        <v>424</v>
      </c>
      <c r="P18" s="202" t="s">
        <v>373</v>
      </c>
      <c r="Q18" s="180" t="s">
        <v>445</v>
      </c>
      <c r="R18" s="182" t="s">
        <v>2</v>
      </c>
      <c r="S18" s="182" t="s">
        <v>3</v>
      </c>
      <c r="T18" s="182" t="s">
        <v>4</v>
      </c>
      <c r="U18" s="182" t="s">
        <v>504</v>
      </c>
      <c r="V18" s="182" t="s">
        <v>505</v>
      </c>
      <c r="W18" s="182" t="s">
        <v>449</v>
      </c>
      <c r="X18" s="182" t="s">
        <v>10</v>
      </c>
      <c r="Y18" s="182" t="s">
        <v>11</v>
      </c>
      <c r="Z18" s="182" t="s">
        <v>450</v>
      </c>
      <c r="AA18" s="182" t="s">
        <v>450</v>
      </c>
      <c r="AB18" s="182" t="s">
        <v>451</v>
      </c>
      <c r="AC18" s="182" t="s">
        <v>451</v>
      </c>
      <c r="AD18" s="182" t="s">
        <v>14</v>
      </c>
      <c r="AE18" s="182" t="s">
        <v>15</v>
      </c>
      <c r="AF18" s="182" t="s">
        <v>16</v>
      </c>
      <c r="AG18" s="182" t="s">
        <v>452</v>
      </c>
      <c r="AH18" s="182" t="s">
        <v>453</v>
      </c>
      <c r="AI18" s="171" t="s">
        <v>650</v>
      </c>
      <c r="AJ18" s="172"/>
      <c r="AK18" s="172"/>
      <c r="AL18" s="172"/>
      <c r="AM18" s="172"/>
      <c r="AN18" s="172"/>
      <c r="AO18" s="172"/>
      <c r="AP18" s="173"/>
      <c r="AQ18" s="171" t="s">
        <v>651</v>
      </c>
      <c r="AR18" s="172"/>
      <c r="AS18" s="172"/>
      <c r="AT18" s="172"/>
      <c r="AU18" s="172"/>
      <c r="AV18" s="172"/>
      <c r="AW18" s="172"/>
      <c r="AX18" s="172"/>
      <c r="AY18" s="172"/>
      <c r="AZ18" s="173"/>
      <c r="BA18" s="171" t="s">
        <v>652</v>
      </c>
      <c r="BB18" s="172"/>
      <c r="BC18" s="172"/>
      <c r="BD18" s="172"/>
      <c r="BE18" s="172"/>
      <c r="BF18" s="172"/>
      <c r="BG18" s="173"/>
      <c r="BH18" s="170" t="s">
        <v>653</v>
      </c>
      <c r="BI18" s="149" t="s">
        <v>654</v>
      </c>
      <c r="BJ18" s="153"/>
      <c r="BK18" s="153"/>
      <c r="BL18" s="153"/>
      <c r="BM18" s="153"/>
      <c r="BN18" s="153"/>
      <c r="BO18" s="150"/>
      <c r="BP18" s="121" t="s">
        <v>655</v>
      </c>
      <c r="BQ18" s="121" t="s">
        <v>656</v>
      </c>
      <c r="BR18" s="121" t="s">
        <v>657</v>
      </c>
      <c r="BS18" s="121" t="s">
        <v>658</v>
      </c>
      <c r="BT18" s="121" t="s">
        <v>659</v>
      </c>
      <c r="BU18" s="121" t="s">
        <v>660</v>
      </c>
      <c r="BV18" s="121" t="s">
        <v>661</v>
      </c>
    </row>
    <row r="19" spans="1:74" ht="75.599999999999994" x14ac:dyDescent="0.55000000000000004">
      <c r="A19" s="180" t="s">
        <v>425</v>
      </c>
      <c r="B19" s="180"/>
      <c r="C19" s="201" t="s">
        <v>376</v>
      </c>
      <c r="D19" s="201" t="s">
        <v>377</v>
      </c>
      <c r="E19" s="201" t="s">
        <v>378</v>
      </c>
      <c r="F19" s="201" t="s">
        <v>379</v>
      </c>
      <c r="G19" s="201" t="s">
        <v>426</v>
      </c>
      <c r="H19" s="201" t="s">
        <v>381</v>
      </c>
      <c r="I19" s="201" t="s">
        <v>382</v>
      </c>
      <c r="J19" s="201" t="s">
        <v>383</v>
      </c>
      <c r="K19" s="201" t="s">
        <v>384</v>
      </c>
      <c r="L19" s="201" t="s">
        <v>385</v>
      </c>
      <c r="M19" s="201" t="s">
        <v>386</v>
      </c>
      <c r="N19" s="201" t="s">
        <v>387</v>
      </c>
      <c r="O19" s="201" t="s">
        <v>388</v>
      </c>
      <c r="P19" s="201" t="s">
        <v>389</v>
      </c>
      <c r="Q19" s="180" t="s">
        <v>454</v>
      </c>
      <c r="R19" s="180" t="s">
        <v>455</v>
      </c>
      <c r="S19" s="180" t="s">
        <v>455</v>
      </c>
      <c r="T19" s="180" t="s">
        <v>455</v>
      </c>
      <c r="U19" s="180" t="s">
        <v>455</v>
      </c>
      <c r="V19" s="180" t="s">
        <v>455</v>
      </c>
      <c r="W19" s="180" t="s">
        <v>456</v>
      </c>
      <c r="X19" s="180" t="s">
        <v>457</v>
      </c>
      <c r="Y19" s="180" t="s">
        <v>458</v>
      </c>
      <c r="Z19" s="180" t="s">
        <v>459</v>
      </c>
      <c r="AA19" s="180" t="s">
        <v>460</v>
      </c>
      <c r="AB19" s="180" t="s">
        <v>459</v>
      </c>
      <c r="AC19" s="180" t="s">
        <v>460</v>
      </c>
      <c r="AD19" s="180"/>
      <c r="AE19" s="180"/>
      <c r="AF19" s="180" t="s">
        <v>461</v>
      </c>
      <c r="AG19" s="180"/>
      <c r="AH19" s="180"/>
      <c r="AI19" s="170" t="s">
        <v>662</v>
      </c>
      <c r="AJ19" s="170" t="s">
        <v>663</v>
      </c>
      <c r="AK19" s="170" t="s">
        <v>664</v>
      </c>
      <c r="AL19" s="170" t="s">
        <v>665</v>
      </c>
      <c r="AM19" s="170" t="s">
        <v>666</v>
      </c>
      <c r="AN19" s="170" t="s">
        <v>667</v>
      </c>
      <c r="AO19" s="170" t="s">
        <v>383</v>
      </c>
      <c r="AP19" s="170" t="s">
        <v>319</v>
      </c>
      <c r="AQ19" s="170" t="s">
        <v>668</v>
      </c>
      <c r="AR19" s="170" t="s">
        <v>669</v>
      </c>
      <c r="AS19" s="170" t="s">
        <v>670</v>
      </c>
      <c r="AT19" s="170" t="s">
        <v>671</v>
      </c>
      <c r="AU19" s="170" t="s">
        <v>672</v>
      </c>
      <c r="AV19" s="170" t="s">
        <v>666</v>
      </c>
      <c r="AW19" s="170" t="s">
        <v>673</v>
      </c>
      <c r="AX19" s="170" t="s">
        <v>674</v>
      </c>
      <c r="AY19" s="170" t="s">
        <v>383</v>
      </c>
      <c r="AZ19" s="170" t="s">
        <v>319</v>
      </c>
      <c r="BA19" s="170" t="s">
        <v>675</v>
      </c>
      <c r="BB19" s="170" t="s">
        <v>676</v>
      </c>
      <c r="BC19" s="170" t="s">
        <v>677</v>
      </c>
      <c r="BD19" s="170" t="s">
        <v>678</v>
      </c>
      <c r="BE19" s="170" t="s">
        <v>679</v>
      </c>
      <c r="BF19" s="170" t="s">
        <v>383</v>
      </c>
      <c r="BG19" s="170" t="s">
        <v>319</v>
      </c>
      <c r="BH19" s="170" t="s">
        <v>459</v>
      </c>
      <c r="BI19" s="121" t="s">
        <v>680</v>
      </c>
      <c r="BJ19" s="121" t="s">
        <v>681</v>
      </c>
      <c r="BK19" s="121" t="s">
        <v>682</v>
      </c>
      <c r="BL19" s="121" t="s">
        <v>683</v>
      </c>
      <c r="BM19" s="121" t="s">
        <v>684</v>
      </c>
      <c r="BN19" s="121" t="s">
        <v>383</v>
      </c>
      <c r="BO19" s="121" t="s">
        <v>319</v>
      </c>
      <c r="BP19" s="121" t="s">
        <v>459</v>
      </c>
      <c r="BQ19" s="121" t="s">
        <v>459</v>
      </c>
      <c r="BR19" s="121" t="s">
        <v>459</v>
      </c>
      <c r="BS19" s="121" t="s">
        <v>459</v>
      </c>
      <c r="BT19" s="121" t="s">
        <v>459</v>
      </c>
      <c r="BU19" s="121" t="s">
        <v>459</v>
      </c>
      <c r="BV19" s="121" t="s">
        <v>459</v>
      </c>
    </row>
    <row r="20" spans="1:74" x14ac:dyDescent="0.55000000000000004">
      <c r="A20" s="196" t="s">
        <v>162</v>
      </c>
      <c r="B20" s="208" t="s">
        <v>81</v>
      </c>
      <c r="C20" s="207" t="s">
        <v>391</v>
      </c>
      <c r="D20" s="207" t="s">
        <v>392</v>
      </c>
      <c r="E20" s="207" t="s">
        <v>391</v>
      </c>
      <c r="F20" s="207" t="s">
        <v>392</v>
      </c>
      <c r="G20" s="207" t="s">
        <v>391</v>
      </c>
      <c r="H20" s="207" t="s">
        <v>391</v>
      </c>
      <c r="I20" s="207" t="s">
        <v>391</v>
      </c>
      <c r="J20" s="207" t="s">
        <v>391</v>
      </c>
      <c r="K20" s="203" t="s">
        <v>319</v>
      </c>
      <c r="L20" s="203" t="s">
        <v>319</v>
      </c>
      <c r="M20" s="203" t="s">
        <v>427</v>
      </c>
      <c r="N20" s="203" t="s">
        <v>394</v>
      </c>
      <c r="O20" s="203" t="s">
        <v>319</v>
      </c>
      <c r="P20" s="203" t="s">
        <v>416</v>
      </c>
      <c r="Q20" s="189" t="s">
        <v>506</v>
      </c>
      <c r="R20" s="184" t="s">
        <v>319</v>
      </c>
      <c r="S20" s="184" t="s">
        <v>319</v>
      </c>
      <c r="T20" s="184" t="s">
        <v>319</v>
      </c>
      <c r="U20" s="184" t="s">
        <v>507</v>
      </c>
      <c r="V20" s="184" t="s">
        <v>319</v>
      </c>
      <c r="W20" s="184" t="s">
        <v>708</v>
      </c>
      <c r="X20" s="190" t="s">
        <v>466</v>
      </c>
      <c r="Y20" s="191" t="s">
        <v>508</v>
      </c>
      <c r="Z20" s="190" t="s">
        <v>392</v>
      </c>
      <c r="AA20" s="191" t="s">
        <v>509</v>
      </c>
      <c r="AB20" s="190" t="s">
        <v>319</v>
      </c>
      <c r="AC20" s="191" t="s">
        <v>510</v>
      </c>
      <c r="AD20" s="184" t="s">
        <v>511</v>
      </c>
      <c r="AE20" s="184" t="s">
        <v>512</v>
      </c>
      <c r="AF20" s="192" t="s">
        <v>391</v>
      </c>
      <c r="AG20" s="184" t="s">
        <v>513</v>
      </c>
      <c r="AH20" s="184" t="s">
        <v>514</v>
      </c>
      <c r="AI20" s="174" t="s">
        <v>392</v>
      </c>
      <c r="AJ20" s="174" t="s">
        <v>319</v>
      </c>
      <c r="AK20" s="174" t="s">
        <v>319</v>
      </c>
      <c r="AL20" s="174" t="s">
        <v>392</v>
      </c>
      <c r="AM20" s="174" t="s">
        <v>319</v>
      </c>
      <c r="AN20" s="174" t="s">
        <v>319</v>
      </c>
      <c r="AO20" s="174" t="s">
        <v>319</v>
      </c>
      <c r="AP20" s="174" t="s">
        <v>391</v>
      </c>
      <c r="AQ20" s="174" t="s">
        <v>319</v>
      </c>
      <c r="AR20" s="174" t="s">
        <v>319</v>
      </c>
      <c r="AS20" s="174" t="s">
        <v>319</v>
      </c>
      <c r="AT20" s="174" t="s">
        <v>319</v>
      </c>
      <c r="AU20" s="174" t="s">
        <v>319</v>
      </c>
      <c r="AV20" s="174" t="s">
        <v>319</v>
      </c>
      <c r="AW20" s="174" t="s">
        <v>392</v>
      </c>
      <c r="AX20" s="174" t="s">
        <v>392</v>
      </c>
      <c r="AY20" s="174" t="s">
        <v>319</v>
      </c>
      <c r="AZ20" s="174" t="s">
        <v>391</v>
      </c>
      <c r="BA20" s="174" t="s">
        <v>319</v>
      </c>
      <c r="BB20" s="174" t="s">
        <v>319</v>
      </c>
      <c r="BC20" s="174" t="s">
        <v>319</v>
      </c>
      <c r="BD20" s="174" t="s">
        <v>319</v>
      </c>
      <c r="BE20" s="174" t="s">
        <v>392</v>
      </c>
      <c r="BF20" s="174" t="s">
        <v>319</v>
      </c>
      <c r="BG20" s="174" t="s">
        <v>391</v>
      </c>
      <c r="BH20" s="174" t="s">
        <v>319</v>
      </c>
      <c r="BI20" s="162" t="s">
        <v>392</v>
      </c>
      <c r="BJ20" s="162" t="s">
        <v>319</v>
      </c>
      <c r="BK20" s="162" t="s">
        <v>319</v>
      </c>
      <c r="BL20" s="162" t="s">
        <v>392</v>
      </c>
      <c r="BM20" s="162" t="s">
        <v>319</v>
      </c>
      <c r="BN20" s="162" t="s">
        <v>702</v>
      </c>
      <c r="BO20" s="162" t="s">
        <v>391</v>
      </c>
      <c r="BP20" s="162" t="s">
        <v>319</v>
      </c>
      <c r="BQ20" s="162" t="s">
        <v>319</v>
      </c>
      <c r="BR20" s="162" t="s">
        <v>319</v>
      </c>
      <c r="BS20" s="162" t="s">
        <v>319</v>
      </c>
      <c r="BT20" s="162" t="s">
        <v>319</v>
      </c>
      <c r="BU20" s="162" t="s">
        <v>319</v>
      </c>
      <c r="BV20" s="162" t="s">
        <v>319</v>
      </c>
    </row>
    <row r="21" spans="1:74" x14ac:dyDescent="0.55000000000000004">
      <c r="A21" s="196" t="s">
        <v>163</v>
      </c>
      <c r="B21" s="208" t="s">
        <v>84</v>
      </c>
      <c r="C21" s="203" t="s">
        <v>391</v>
      </c>
      <c r="D21" s="203" t="s">
        <v>392</v>
      </c>
      <c r="E21" s="203" t="s">
        <v>391</v>
      </c>
      <c r="F21" s="203" t="s">
        <v>392</v>
      </c>
      <c r="G21" s="203" t="s">
        <v>391</v>
      </c>
      <c r="H21" s="203" t="s">
        <v>391</v>
      </c>
      <c r="I21" s="203" t="s">
        <v>391</v>
      </c>
      <c r="J21" s="207" t="s">
        <v>391</v>
      </c>
      <c r="K21" s="203" t="s">
        <v>319</v>
      </c>
      <c r="L21" s="203" t="s">
        <v>319</v>
      </c>
      <c r="M21" s="203" t="s">
        <v>427</v>
      </c>
      <c r="N21" s="203" t="s">
        <v>394</v>
      </c>
      <c r="O21" s="203" t="s">
        <v>319</v>
      </c>
      <c r="P21" s="203" t="s">
        <v>396</v>
      </c>
      <c r="Q21" s="183" t="s">
        <v>515</v>
      </c>
      <c r="R21" s="184" t="s">
        <v>319</v>
      </c>
      <c r="S21" s="184" t="s">
        <v>319</v>
      </c>
      <c r="T21" s="184" t="s">
        <v>319</v>
      </c>
      <c r="U21" s="184" t="s">
        <v>516</v>
      </c>
      <c r="V21" s="184" t="s">
        <v>319</v>
      </c>
      <c r="W21" s="184" t="s">
        <v>709</v>
      </c>
      <c r="X21" s="190" t="s">
        <v>466</v>
      </c>
      <c r="Y21" s="191" t="s">
        <v>517</v>
      </c>
      <c r="Z21" s="190" t="s">
        <v>392</v>
      </c>
      <c r="AA21" s="191" t="s">
        <v>518</v>
      </c>
      <c r="AB21" s="190" t="s">
        <v>319</v>
      </c>
      <c r="AC21" s="191" t="s">
        <v>519</v>
      </c>
      <c r="AD21" s="184" t="s">
        <v>520</v>
      </c>
      <c r="AE21" s="184" t="s">
        <v>521</v>
      </c>
      <c r="AF21" s="192" t="s">
        <v>392</v>
      </c>
      <c r="AG21" s="184" t="s">
        <v>522</v>
      </c>
      <c r="AH21" s="184" t="s">
        <v>523</v>
      </c>
      <c r="AI21" s="174" t="s">
        <v>392</v>
      </c>
      <c r="AJ21" s="174" t="s">
        <v>319</v>
      </c>
      <c r="AK21" s="174" t="s">
        <v>319</v>
      </c>
      <c r="AL21" s="174" t="s">
        <v>392</v>
      </c>
      <c r="AM21" s="174" t="s">
        <v>319</v>
      </c>
      <c r="AN21" s="174" t="s">
        <v>319</v>
      </c>
      <c r="AO21" s="174" t="s">
        <v>319</v>
      </c>
      <c r="AP21" s="174" t="s">
        <v>391</v>
      </c>
      <c r="AQ21" s="174" t="s">
        <v>319</v>
      </c>
      <c r="AR21" s="174" t="s">
        <v>319</v>
      </c>
      <c r="AS21" s="174" t="s">
        <v>319</v>
      </c>
      <c r="AT21" s="174" t="s">
        <v>319</v>
      </c>
      <c r="AU21" s="174" t="s">
        <v>319</v>
      </c>
      <c r="AV21" s="174" t="s">
        <v>319</v>
      </c>
      <c r="AW21" s="174" t="s">
        <v>392</v>
      </c>
      <c r="AX21" s="174" t="s">
        <v>392</v>
      </c>
      <c r="AY21" s="174" t="s">
        <v>319</v>
      </c>
      <c r="AZ21" s="174" t="s">
        <v>391</v>
      </c>
      <c r="BA21" s="174" t="s">
        <v>319</v>
      </c>
      <c r="BB21" s="174" t="s">
        <v>319</v>
      </c>
      <c r="BC21" s="174" t="s">
        <v>319</v>
      </c>
      <c r="BD21" s="174" t="s">
        <v>319</v>
      </c>
      <c r="BE21" s="174" t="s">
        <v>392</v>
      </c>
      <c r="BF21" s="174" t="s">
        <v>319</v>
      </c>
      <c r="BG21" s="174" t="s">
        <v>391</v>
      </c>
      <c r="BH21" s="174" t="s">
        <v>319</v>
      </c>
      <c r="BI21" s="162" t="s">
        <v>392</v>
      </c>
      <c r="BJ21" s="162" t="s">
        <v>319</v>
      </c>
      <c r="BK21" s="162" t="s">
        <v>319</v>
      </c>
      <c r="BL21" s="162" t="s">
        <v>392</v>
      </c>
      <c r="BM21" s="162" t="s">
        <v>319</v>
      </c>
      <c r="BN21" s="162" t="s">
        <v>702</v>
      </c>
      <c r="BO21" s="162" t="s">
        <v>391</v>
      </c>
      <c r="BP21" s="162" t="s">
        <v>319</v>
      </c>
      <c r="BQ21" s="162" t="s">
        <v>319</v>
      </c>
      <c r="BR21" s="162" t="s">
        <v>319</v>
      </c>
      <c r="BS21" s="162" t="s">
        <v>319</v>
      </c>
      <c r="BT21" s="162" t="s">
        <v>319</v>
      </c>
      <c r="BU21" s="162" t="s">
        <v>319</v>
      </c>
      <c r="BV21" s="162" t="s">
        <v>319</v>
      </c>
    </row>
    <row r="22" spans="1:74" x14ac:dyDescent="0.55000000000000004">
      <c r="A22" s="196" t="s">
        <v>164</v>
      </c>
      <c r="B22" s="208" t="s">
        <v>86</v>
      </c>
      <c r="C22" s="203" t="s">
        <v>392</v>
      </c>
      <c r="D22" s="203" t="s">
        <v>392</v>
      </c>
      <c r="E22" s="203" t="s">
        <v>391</v>
      </c>
      <c r="F22" s="203" t="s">
        <v>391</v>
      </c>
      <c r="G22" s="203" t="s">
        <v>391</v>
      </c>
      <c r="H22" s="203" t="s">
        <v>391</v>
      </c>
      <c r="I22" s="203" t="s">
        <v>391</v>
      </c>
      <c r="J22" s="207" t="s">
        <v>391</v>
      </c>
      <c r="K22" s="203" t="s">
        <v>428</v>
      </c>
      <c r="L22" s="203" t="s">
        <v>319</v>
      </c>
      <c r="M22" s="203" t="s">
        <v>427</v>
      </c>
      <c r="N22" s="203" t="s">
        <v>394</v>
      </c>
      <c r="O22" s="203" t="s">
        <v>319</v>
      </c>
      <c r="P22" s="203" t="s">
        <v>416</v>
      </c>
      <c r="Q22" s="183" t="s">
        <v>524</v>
      </c>
      <c r="R22" s="184" t="s">
        <v>319</v>
      </c>
      <c r="S22" s="184" t="s">
        <v>525</v>
      </c>
      <c r="T22" s="184" t="s">
        <v>319</v>
      </c>
      <c r="U22" s="184" t="s">
        <v>319</v>
      </c>
      <c r="V22" s="184" t="s">
        <v>319</v>
      </c>
      <c r="W22" s="184" t="s">
        <v>526</v>
      </c>
      <c r="X22" s="190" t="s">
        <v>466</v>
      </c>
      <c r="Y22" s="191" t="s">
        <v>527</v>
      </c>
      <c r="Z22" s="190" t="s">
        <v>392</v>
      </c>
      <c r="AA22" s="191" t="s">
        <v>527</v>
      </c>
      <c r="AB22" s="190" t="s">
        <v>319</v>
      </c>
      <c r="AC22" s="193" t="s">
        <v>528</v>
      </c>
      <c r="AD22" s="184" t="s">
        <v>529</v>
      </c>
      <c r="AE22" s="184" t="s">
        <v>530</v>
      </c>
      <c r="AF22" s="192" t="s">
        <v>392</v>
      </c>
      <c r="AG22" s="184" t="s">
        <v>531</v>
      </c>
      <c r="AH22" s="184" t="s">
        <v>532</v>
      </c>
      <c r="AI22" s="174" t="s">
        <v>319</v>
      </c>
      <c r="AJ22" s="174" t="s">
        <v>319</v>
      </c>
      <c r="AK22" s="174" t="s">
        <v>319</v>
      </c>
      <c r="AL22" s="174" t="s">
        <v>319</v>
      </c>
      <c r="AM22" s="174" t="s">
        <v>319</v>
      </c>
      <c r="AN22" s="174" t="s">
        <v>319</v>
      </c>
      <c r="AO22" s="174" t="s">
        <v>319</v>
      </c>
      <c r="AP22" s="174" t="s">
        <v>392</v>
      </c>
      <c r="AQ22" s="174" t="s">
        <v>319</v>
      </c>
      <c r="AR22" s="174" t="s">
        <v>392</v>
      </c>
      <c r="AS22" s="174" t="s">
        <v>319</v>
      </c>
      <c r="AT22" s="174" t="s">
        <v>319</v>
      </c>
      <c r="AU22" s="174" t="s">
        <v>319</v>
      </c>
      <c r="AV22" s="174" t="s">
        <v>319</v>
      </c>
      <c r="AW22" s="174" t="s">
        <v>319</v>
      </c>
      <c r="AX22" s="174" t="s">
        <v>319</v>
      </c>
      <c r="AY22" s="174" t="s">
        <v>319</v>
      </c>
      <c r="AZ22" s="174" t="s">
        <v>391</v>
      </c>
      <c r="BA22" s="174" t="s">
        <v>319</v>
      </c>
      <c r="BB22" s="174" t="s">
        <v>319</v>
      </c>
      <c r="BC22" s="174" t="s">
        <v>319</v>
      </c>
      <c r="BD22" s="174" t="s">
        <v>319</v>
      </c>
      <c r="BE22" s="174" t="s">
        <v>319</v>
      </c>
      <c r="BF22" s="174" t="s">
        <v>319</v>
      </c>
      <c r="BG22" s="174" t="s">
        <v>392</v>
      </c>
      <c r="BH22" s="174" t="s">
        <v>319</v>
      </c>
      <c r="BI22" s="162" t="s">
        <v>319</v>
      </c>
      <c r="BJ22" s="162" t="s">
        <v>392</v>
      </c>
      <c r="BK22" s="162" t="s">
        <v>392</v>
      </c>
      <c r="BL22" s="162" t="s">
        <v>319</v>
      </c>
      <c r="BM22" s="162" t="s">
        <v>319</v>
      </c>
      <c r="BN22" s="162" t="s">
        <v>319</v>
      </c>
      <c r="BO22" s="162" t="s">
        <v>391</v>
      </c>
      <c r="BP22" s="162" t="s">
        <v>703</v>
      </c>
      <c r="BQ22" s="162" t="s">
        <v>319</v>
      </c>
      <c r="BR22" s="162" t="s">
        <v>319</v>
      </c>
      <c r="BS22" s="162" t="s">
        <v>319</v>
      </c>
      <c r="BT22" s="162" t="s">
        <v>319</v>
      </c>
      <c r="BU22" s="162" t="s">
        <v>319</v>
      </c>
      <c r="BV22" s="162" t="s">
        <v>319</v>
      </c>
    </row>
    <row r="23" spans="1:74" x14ac:dyDescent="0.55000000000000004">
      <c r="A23" s="196" t="s">
        <v>165</v>
      </c>
      <c r="B23" s="208" t="s">
        <v>89</v>
      </c>
      <c r="C23" s="203" t="s">
        <v>391</v>
      </c>
      <c r="D23" s="203" t="s">
        <v>392</v>
      </c>
      <c r="E23" s="203" t="s">
        <v>392</v>
      </c>
      <c r="F23" s="203" t="s">
        <v>392</v>
      </c>
      <c r="G23" s="203" t="s">
        <v>392</v>
      </c>
      <c r="H23" s="203" t="s">
        <v>391</v>
      </c>
      <c r="I23" s="203" t="s">
        <v>391</v>
      </c>
      <c r="J23" s="207" t="s">
        <v>391</v>
      </c>
      <c r="K23" s="203" t="s">
        <v>319</v>
      </c>
      <c r="L23" s="203" t="s">
        <v>319</v>
      </c>
      <c r="M23" s="203" t="s">
        <v>427</v>
      </c>
      <c r="N23" s="203" t="s">
        <v>394</v>
      </c>
      <c r="O23" s="203" t="s">
        <v>319</v>
      </c>
      <c r="P23" s="203" t="s">
        <v>416</v>
      </c>
      <c r="Q23" s="183" t="s">
        <v>533</v>
      </c>
      <c r="R23" s="184" t="s">
        <v>319</v>
      </c>
      <c r="S23" s="184" t="s">
        <v>319</v>
      </c>
      <c r="T23" s="184" t="s">
        <v>319</v>
      </c>
      <c r="U23" s="184" t="s">
        <v>534</v>
      </c>
      <c r="V23" s="184" t="s">
        <v>535</v>
      </c>
      <c r="W23" s="184" t="s">
        <v>710</v>
      </c>
      <c r="X23" s="190" t="s">
        <v>466</v>
      </c>
      <c r="Y23" s="191" t="s">
        <v>536</v>
      </c>
      <c r="Z23" s="190" t="s">
        <v>392</v>
      </c>
      <c r="AA23" s="191" t="s">
        <v>537</v>
      </c>
      <c r="AB23" s="190" t="s">
        <v>319</v>
      </c>
      <c r="AC23" s="191" t="s">
        <v>538</v>
      </c>
      <c r="AD23" s="184" t="s">
        <v>539</v>
      </c>
      <c r="AE23" s="184" t="s">
        <v>540</v>
      </c>
      <c r="AF23" s="192" t="s">
        <v>392</v>
      </c>
      <c r="AG23" s="184" t="s">
        <v>541</v>
      </c>
      <c r="AH23" s="184" t="s">
        <v>542</v>
      </c>
      <c r="AI23" s="174" t="s">
        <v>392</v>
      </c>
      <c r="AJ23" s="174" t="s">
        <v>319</v>
      </c>
      <c r="AK23" s="174" t="s">
        <v>319</v>
      </c>
      <c r="AL23" s="174" t="s">
        <v>392</v>
      </c>
      <c r="AM23" s="174" t="s">
        <v>319</v>
      </c>
      <c r="AN23" s="174" t="s">
        <v>319</v>
      </c>
      <c r="AO23" s="174" t="s">
        <v>319</v>
      </c>
      <c r="AP23" s="174" t="s">
        <v>391</v>
      </c>
      <c r="AQ23" s="174" t="s">
        <v>319</v>
      </c>
      <c r="AR23" s="174" t="s">
        <v>319</v>
      </c>
      <c r="AS23" s="174" t="s">
        <v>319</v>
      </c>
      <c r="AT23" s="174" t="s">
        <v>319</v>
      </c>
      <c r="AU23" s="174" t="s">
        <v>319</v>
      </c>
      <c r="AV23" s="174" t="s">
        <v>319</v>
      </c>
      <c r="AW23" s="174" t="s">
        <v>392</v>
      </c>
      <c r="AX23" s="174" t="s">
        <v>392</v>
      </c>
      <c r="AY23" s="174" t="s">
        <v>319</v>
      </c>
      <c r="AZ23" s="174" t="s">
        <v>391</v>
      </c>
      <c r="BA23" s="174" t="s">
        <v>319</v>
      </c>
      <c r="BB23" s="174" t="s">
        <v>319</v>
      </c>
      <c r="BC23" s="174" t="s">
        <v>319</v>
      </c>
      <c r="BD23" s="174" t="s">
        <v>319</v>
      </c>
      <c r="BE23" s="174" t="s">
        <v>392</v>
      </c>
      <c r="BF23" s="174" t="s">
        <v>319</v>
      </c>
      <c r="BG23" s="174" t="s">
        <v>391</v>
      </c>
      <c r="BH23" s="174" t="s">
        <v>319</v>
      </c>
      <c r="BI23" s="162" t="s">
        <v>392</v>
      </c>
      <c r="BJ23" s="162" t="s">
        <v>319</v>
      </c>
      <c r="BK23" s="162" t="s">
        <v>319</v>
      </c>
      <c r="BL23" s="162" t="s">
        <v>392</v>
      </c>
      <c r="BM23" s="162" t="s">
        <v>319</v>
      </c>
      <c r="BN23" s="162" t="s">
        <v>702</v>
      </c>
      <c r="BO23" s="162" t="s">
        <v>391</v>
      </c>
      <c r="BP23" s="162" t="s">
        <v>319</v>
      </c>
      <c r="BQ23" s="162" t="s">
        <v>319</v>
      </c>
      <c r="BR23" s="162" t="s">
        <v>319</v>
      </c>
      <c r="BS23" s="162" t="s">
        <v>319</v>
      </c>
      <c r="BT23" s="162" t="s">
        <v>319</v>
      </c>
      <c r="BU23" s="162" t="s">
        <v>319</v>
      </c>
      <c r="BV23" s="162" t="s">
        <v>319</v>
      </c>
    </row>
    <row r="24" spans="1:74" x14ac:dyDescent="0.55000000000000004">
      <c r="A24" s="196" t="s">
        <v>166</v>
      </c>
      <c r="B24" s="208" t="s">
        <v>92</v>
      </c>
      <c r="C24" s="203" t="s">
        <v>391</v>
      </c>
      <c r="D24" s="203" t="s">
        <v>392</v>
      </c>
      <c r="E24" s="203" t="s">
        <v>392</v>
      </c>
      <c r="F24" s="203" t="s">
        <v>391</v>
      </c>
      <c r="G24" s="203" t="s">
        <v>391</v>
      </c>
      <c r="H24" s="203" t="s">
        <v>391</v>
      </c>
      <c r="I24" s="203" t="s">
        <v>391</v>
      </c>
      <c r="J24" s="207" t="s">
        <v>391</v>
      </c>
      <c r="K24" s="203" t="s">
        <v>319</v>
      </c>
      <c r="L24" s="203" t="s">
        <v>319</v>
      </c>
      <c r="M24" s="203" t="s">
        <v>427</v>
      </c>
      <c r="N24" s="203" t="s">
        <v>394</v>
      </c>
      <c r="O24" s="203" t="s">
        <v>319</v>
      </c>
      <c r="P24" s="203" t="s">
        <v>396</v>
      </c>
      <c r="Q24" s="186" t="s">
        <v>543</v>
      </c>
      <c r="R24" s="184" t="s">
        <v>319</v>
      </c>
      <c r="S24" s="184" t="s">
        <v>544</v>
      </c>
      <c r="T24" s="184" t="s">
        <v>545</v>
      </c>
      <c r="U24" s="184" t="s">
        <v>319</v>
      </c>
      <c r="V24" s="184" t="s">
        <v>319</v>
      </c>
      <c r="W24" s="184" t="s">
        <v>546</v>
      </c>
      <c r="X24" s="190" t="s">
        <v>466</v>
      </c>
      <c r="Y24" s="191" t="s">
        <v>547</v>
      </c>
      <c r="Z24" s="190" t="s">
        <v>392</v>
      </c>
      <c r="AA24" s="194" t="s">
        <v>548</v>
      </c>
      <c r="AB24" s="190" t="s">
        <v>319</v>
      </c>
      <c r="AC24" s="194" t="s">
        <v>549</v>
      </c>
      <c r="AD24" s="184" t="s">
        <v>550</v>
      </c>
      <c r="AE24" s="184" t="s">
        <v>551</v>
      </c>
      <c r="AF24" s="192" t="s">
        <v>392</v>
      </c>
      <c r="AG24" s="184" t="s">
        <v>552</v>
      </c>
      <c r="AH24" s="184" t="s">
        <v>514</v>
      </c>
      <c r="AI24" s="174" t="s">
        <v>319</v>
      </c>
      <c r="AJ24" s="174" t="s">
        <v>319</v>
      </c>
      <c r="AK24" s="174" t="s">
        <v>319</v>
      </c>
      <c r="AL24" s="174" t="s">
        <v>319</v>
      </c>
      <c r="AM24" s="174" t="s">
        <v>319</v>
      </c>
      <c r="AN24" s="174" t="s">
        <v>319</v>
      </c>
      <c r="AO24" s="174" t="s">
        <v>319</v>
      </c>
      <c r="AP24" s="174" t="s">
        <v>392</v>
      </c>
      <c r="AQ24" s="174" t="s">
        <v>319</v>
      </c>
      <c r="AR24" s="174" t="s">
        <v>319</v>
      </c>
      <c r="AS24" s="174" t="s">
        <v>319</v>
      </c>
      <c r="AT24" s="174" t="s">
        <v>319</v>
      </c>
      <c r="AU24" s="174" t="s">
        <v>319</v>
      </c>
      <c r="AV24" s="174" t="s">
        <v>319</v>
      </c>
      <c r="AW24" s="174" t="s">
        <v>319</v>
      </c>
      <c r="AX24" s="174" t="s">
        <v>319</v>
      </c>
      <c r="AY24" s="174" t="s">
        <v>319</v>
      </c>
      <c r="AZ24" s="174" t="s">
        <v>392</v>
      </c>
      <c r="BA24" s="174" t="s">
        <v>319</v>
      </c>
      <c r="BB24" s="174" t="s">
        <v>319</v>
      </c>
      <c r="BC24" s="174" t="s">
        <v>319</v>
      </c>
      <c r="BD24" s="174" t="s">
        <v>319</v>
      </c>
      <c r="BE24" s="174" t="s">
        <v>319</v>
      </c>
      <c r="BF24" s="174" t="s">
        <v>319</v>
      </c>
      <c r="BG24" s="174" t="s">
        <v>392</v>
      </c>
      <c r="BH24" s="174" t="s">
        <v>319</v>
      </c>
      <c r="BI24" s="162" t="s">
        <v>319</v>
      </c>
      <c r="BJ24" s="162" t="s">
        <v>319</v>
      </c>
      <c r="BK24" s="162" t="s">
        <v>319</v>
      </c>
      <c r="BL24" s="162" t="s">
        <v>319</v>
      </c>
      <c r="BM24" s="162" t="s">
        <v>319</v>
      </c>
      <c r="BN24" s="162" t="s">
        <v>319</v>
      </c>
      <c r="BO24" s="162" t="s">
        <v>392</v>
      </c>
      <c r="BP24" s="162" t="s">
        <v>319</v>
      </c>
      <c r="BQ24" s="162" t="s">
        <v>319</v>
      </c>
      <c r="BR24" s="162" t="s">
        <v>319</v>
      </c>
      <c r="BS24" s="162" t="s">
        <v>319</v>
      </c>
      <c r="BT24" s="162" t="s">
        <v>319</v>
      </c>
      <c r="BU24" s="162" t="s">
        <v>319</v>
      </c>
      <c r="BV24" s="162" t="s">
        <v>319</v>
      </c>
    </row>
    <row r="25" spans="1:74" x14ac:dyDescent="0.55000000000000004">
      <c r="A25" s="196" t="s">
        <v>167</v>
      </c>
      <c r="B25" s="208" t="s">
        <v>94</v>
      </c>
      <c r="C25" s="203" t="s">
        <v>391</v>
      </c>
      <c r="D25" s="203" t="s">
        <v>392</v>
      </c>
      <c r="E25" s="203" t="s">
        <v>392</v>
      </c>
      <c r="F25" s="203" t="s">
        <v>392</v>
      </c>
      <c r="G25" s="203" t="s">
        <v>391</v>
      </c>
      <c r="H25" s="203" t="s">
        <v>391</v>
      </c>
      <c r="I25" s="203" t="s">
        <v>391</v>
      </c>
      <c r="J25" s="207" t="s">
        <v>391</v>
      </c>
      <c r="K25" s="203" t="s">
        <v>319</v>
      </c>
      <c r="L25" s="203" t="s">
        <v>319</v>
      </c>
      <c r="M25" s="203" t="s">
        <v>427</v>
      </c>
      <c r="N25" s="203" t="s">
        <v>394</v>
      </c>
      <c r="O25" s="203" t="s">
        <v>319</v>
      </c>
      <c r="P25" s="203" t="s">
        <v>416</v>
      </c>
      <c r="Q25" s="186" t="s">
        <v>553</v>
      </c>
      <c r="R25" s="184" t="s">
        <v>319</v>
      </c>
      <c r="S25" s="184" t="s">
        <v>554</v>
      </c>
      <c r="T25" s="184" t="s">
        <v>555</v>
      </c>
      <c r="U25" s="184" t="s">
        <v>556</v>
      </c>
      <c r="V25" s="184" t="s">
        <v>319</v>
      </c>
      <c r="W25" s="184" t="s">
        <v>557</v>
      </c>
      <c r="X25" s="190" t="s">
        <v>466</v>
      </c>
      <c r="Y25" s="191" t="s">
        <v>558</v>
      </c>
      <c r="Z25" s="190" t="s">
        <v>392</v>
      </c>
      <c r="AA25" s="191" t="s">
        <v>558</v>
      </c>
      <c r="AB25" s="190" t="s">
        <v>319</v>
      </c>
      <c r="AC25" s="191" t="s">
        <v>559</v>
      </c>
      <c r="AD25" s="184" t="s">
        <v>560</v>
      </c>
      <c r="AE25" s="184" t="s">
        <v>561</v>
      </c>
      <c r="AF25" s="192" t="s">
        <v>391</v>
      </c>
      <c r="AG25" s="184" t="s">
        <v>562</v>
      </c>
      <c r="AH25" s="184" t="s">
        <v>563</v>
      </c>
      <c r="AI25" s="174" t="s">
        <v>319</v>
      </c>
      <c r="AJ25" s="174" t="s">
        <v>319</v>
      </c>
      <c r="AK25" s="174" t="s">
        <v>319</v>
      </c>
      <c r="AL25" s="174" t="s">
        <v>319</v>
      </c>
      <c r="AM25" s="174" t="s">
        <v>319</v>
      </c>
      <c r="AN25" s="174" t="s">
        <v>319</v>
      </c>
      <c r="AO25" s="174" t="s">
        <v>319</v>
      </c>
      <c r="AP25" s="174" t="s">
        <v>392</v>
      </c>
      <c r="AQ25" s="174" t="s">
        <v>319</v>
      </c>
      <c r="AR25" s="174" t="s">
        <v>319</v>
      </c>
      <c r="AS25" s="174" t="s">
        <v>319</v>
      </c>
      <c r="AT25" s="174" t="s">
        <v>319</v>
      </c>
      <c r="AU25" s="174" t="s">
        <v>319</v>
      </c>
      <c r="AV25" s="174" t="s">
        <v>319</v>
      </c>
      <c r="AW25" s="174" t="s">
        <v>319</v>
      </c>
      <c r="AX25" s="174" t="s">
        <v>319</v>
      </c>
      <c r="AY25" s="174" t="s">
        <v>319</v>
      </c>
      <c r="AZ25" s="174" t="s">
        <v>392</v>
      </c>
      <c r="BA25" s="174" t="s">
        <v>319</v>
      </c>
      <c r="BB25" s="174" t="s">
        <v>319</v>
      </c>
      <c r="BC25" s="174" t="s">
        <v>319</v>
      </c>
      <c r="BD25" s="174" t="s">
        <v>319</v>
      </c>
      <c r="BE25" s="174" t="s">
        <v>319</v>
      </c>
      <c r="BF25" s="174" t="s">
        <v>319</v>
      </c>
      <c r="BG25" s="174" t="s">
        <v>392</v>
      </c>
      <c r="BH25" s="174" t="s">
        <v>319</v>
      </c>
      <c r="BI25" s="162" t="s">
        <v>319</v>
      </c>
      <c r="BJ25" s="162" t="s">
        <v>319</v>
      </c>
      <c r="BK25" s="162" t="s">
        <v>319</v>
      </c>
      <c r="BL25" s="162" t="s">
        <v>319</v>
      </c>
      <c r="BM25" s="162" t="s">
        <v>319</v>
      </c>
      <c r="BN25" s="162" t="s">
        <v>319</v>
      </c>
      <c r="BO25" s="162" t="s">
        <v>392</v>
      </c>
      <c r="BP25" s="162" t="s">
        <v>319</v>
      </c>
      <c r="BQ25" s="162" t="s">
        <v>319</v>
      </c>
      <c r="BR25" s="162" t="s">
        <v>319</v>
      </c>
      <c r="BS25" s="162" t="s">
        <v>319</v>
      </c>
      <c r="BT25" s="162" t="s">
        <v>319</v>
      </c>
      <c r="BU25" s="162" t="s">
        <v>319</v>
      </c>
      <c r="BV25" s="162" t="s">
        <v>319</v>
      </c>
    </row>
    <row r="26" spans="1:74" x14ac:dyDescent="0.55000000000000004">
      <c r="A26" s="196" t="s">
        <v>168</v>
      </c>
      <c r="B26" s="208" t="s">
        <v>97</v>
      </c>
      <c r="C26" s="203" t="s">
        <v>391</v>
      </c>
      <c r="D26" s="203" t="s">
        <v>392</v>
      </c>
      <c r="E26" s="203" t="s">
        <v>391</v>
      </c>
      <c r="F26" s="203" t="s">
        <v>392</v>
      </c>
      <c r="G26" s="203" t="s">
        <v>391</v>
      </c>
      <c r="H26" s="203" t="s">
        <v>391</v>
      </c>
      <c r="I26" s="203" t="s">
        <v>391</v>
      </c>
      <c r="J26" s="207" t="s">
        <v>391</v>
      </c>
      <c r="K26" s="203" t="s">
        <v>319</v>
      </c>
      <c r="L26" s="203" t="s">
        <v>319</v>
      </c>
      <c r="M26" s="203" t="s">
        <v>427</v>
      </c>
      <c r="N26" s="203" t="s">
        <v>394</v>
      </c>
      <c r="O26" s="203" t="s">
        <v>319</v>
      </c>
      <c r="P26" s="203" t="s">
        <v>416</v>
      </c>
      <c r="Q26" s="186" t="s">
        <v>564</v>
      </c>
      <c r="R26" s="184" t="s">
        <v>319</v>
      </c>
      <c r="S26" s="184" t="s">
        <v>565</v>
      </c>
      <c r="T26" s="184" t="s">
        <v>319</v>
      </c>
      <c r="U26" s="184" t="s">
        <v>566</v>
      </c>
      <c r="V26" s="184" t="s">
        <v>319</v>
      </c>
      <c r="W26" s="184" t="s">
        <v>711</v>
      </c>
      <c r="X26" s="190" t="s">
        <v>466</v>
      </c>
      <c r="Y26" s="191" t="s">
        <v>567</v>
      </c>
      <c r="Z26" s="190" t="s">
        <v>392</v>
      </c>
      <c r="AA26" s="191" t="s">
        <v>568</v>
      </c>
      <c r="AB26" s="190" t="s">
        <v>319</v>
      </c>
      <c r="AC26" s="191" t="s">
        <v>569</v>
      </c>
      <c r="AD26" s="184" t="s">
        <v>570</v>
      </c>
      <c r="AE26" s="184" t="s">
        <v>571</v>
      </c>
      <c r="AF26" s="192" t="s">
        <v>392</v>
      </c>
      <c r="AG26" s="184" t="s">
        <v>572</v>
      </c>
      <c r="AH26" s="184" t="s">
        <v>514</v>
      </c>
      <c r="AI26" s="174" t="s">
        <v>392</v>
      </c>
      <c r="AJ26" s="174" t="s">
        <v>319</v>
      </c>
      <c r="AK26" s="174" t="s">
        <v>319</v>
      </c>
      <c r="AL26" s="174" t="s">
        <v>319</v>
      </c>
      <c r="AM26" s="174" t="s">
        <v>319</v>
      </c>
      <c r="AN26" s="174" t="s">
        <v>319</v>
      </c>
      <c r="AO26" s="174" t="s">
        <v>319</v>
      </c>
      <c r="AP26" s="174" t="s">
        <v>391</v>
      </c>
      <c r="AQ26" s="174" t="s">
        <v>319</v>
      </c>
      <c r="AR26" s="174" t="s">
        <v>319</v>
      </c>
      <c r="AS26" s="174" t="s">
        <v>319</v>
      </c>
      <c r="AT26" s="174" t="s">
        <v>319</v>
      </c>
      <c r="AU26" s="174" t="s">
        <v>319</v>
      </c>
      <c r="AV26" s="174" t="s">
        <v>319</v>
      </c>
      <c r="AW26" s="174" t="s">
        <v>392</v>
      </c>
      <c r="AX26" s="174" t="s">
        <v>392</v>
      </c>
      <c r="AY26" s="174" t="s">
        <v>319</v>
      </c>
      <c r="AZ26" s="174" t="s">
        <v>391</v>
      </c>
      <c r="BA26" s="174" t="s">
        <v>319</v>
      </c>
      <c r="BB26" s="174" t="s">
        <v>319</v>
      </c>
      <c r="BC26" s="174" t="s">
        <v>319</v>
      </c>
      <c r="BD26" s="174" t="s">
        <v>319</v>
      </c>
      <c r="BE26" s="174" t="s">
        <v>392</v>
      </c>
      <c r="BF26" s="174" t="s">
        <v>319</v>
      </c>
      <c r="BG26" s="174" t="s">
        <v>391</v>
      </c>
      <c r="BH26" s="174" t="s">
        <v>319</v>
      </c>
      <c r="BI26" s="162" t="s">
        <v>392</v>
      </c>
      <c r="BJ26" s="162" t="s">
        <v>319</v>
      </c>
      <c r="BK26" s="162" t="s">
        <v>319</v>
      </c>
      <c r="BL26" s="162" t="s">
        <v>319</v>
      </c>
      <c r="BM26" s="162" t="s">
        <v>319</v>
      </c>
      <c r="BN26" s="162" t="s">
        <v>702</v>
      </c>
      <c r="BO26" s="162" t="s">
        <v>391</v>
      </c>
      <c r="BP26" s="162" t="s">
        <v>319</v>
      </c>
      <c r="BQ26" s="162" t="s">
        <v>319</v>
      </c>
      <c r="BR26" s="162" t="s">
        <v>319</v>
      </c>
      <c r="BS26" s="162" t="s">
        <v>319</v>
      </c>
      <c r="BT26" s="162" t="s">
        <v>319</v>
      </c>
      <c r="BU26" s="162" t="s">
        <v>319</v>
      </c>
      <c r="BV26" s="162" t="s">
        <v>319</v>
      </c>
    </row>
    <row r="27" spans="1:74" x14ac:dyDescent="0.55000000000000004">
      <c r="A27" s="196" t="s">
        <v>169</v>
      </c>
      <c r="B27" s="208" t="s">
        <v>100</v>
      </c>
      <c r="C27" s="203" t="s">
        <v>392</v>
      </c>
      <c r="D27" s="203" t="s">
        <v>392</v>
      </c>
      <c r="E27" s="203" t="s">
        <v>392</v>
      </c>
      <c r="F27" s="203" t="s">
        <v>392</v>
      </c>
      <c r="G27" s="203" t="s">
        <v>392</v>
      </c>
      <c r="H27" s="203" t="s">
        <v>391</v>
      </c>
      <c r="I27" s="203" t="s">
        <v>392</v>
      </c>
      <c r="J27" s="207" t="s">
        <v>391</v>
      </c>
      <c r="K27" s="203" t="s">
        <v>319</v>
      </c>
      <c r="L27" s="203" t="s">
        <v>319</v>
      </c>
      <c r="M27" s="203" t="s">
        <v>427</v>
      </c>
      <c r="N27" s="203" t="s">
        <v>429</v>
      </c>
      <c r="O27" s="203" t="s">
        <v>319</v>
      </c>
      <c r="P27" s="203" t="s">
        <v>416</v>
      </c>
      <c r="Q27" s="186" t="s">
        <v>573</v>
      </c>
      <c r="R27" s="184" t="s">
        <v>319</v>
      </c>
      <c r="S27" s="184" t="s">
        <v>319</v>
      </c>
      <c r="T27" s="184" t="s">
        <v>319</v>
      </c>
      <c r="U27" s="184" t="s">
        <v>319</v>
      </c>
      <c r="V27" s="184" t="s">
        <v>574</v>
      </c>
      <c r="W27" s="184" t="s">
        <v>712</v>
      </c>
      <c r="X27" s="190" t="s">
        <v>466</v>
      </c>
      <c r="Y27" s="191" t="s">
        <v>575</v>
      </c>
      <c r="Z27" s="190" t="s">
        <v>392</v>
      </c>
      <c r="AA27" s="191" t="s">
        <v>576</v>
      </c>
      <c r="AB27" s="190" t="s">
        <v>319</v>
      </c>
      <c r="AC27" s="191" t="s">
        <v>577</v>
      </c>
      <c r="AD27" s="184" t="s">
        <v>578</v>
      </c>
      <c r="AE27" s="184" t="s">
        <v>579</v>
      </c>
      <c r="AF27" s="192" t="s">
        <v>392</v>
      </c>
      <c r="AG27" s="184" t="s">
        <v>580</v>
      </c>
      <c r="AH27" s="184" t="s">
        <v>581</v>
      </c>
      <c r="AI27" s="174" t="s">
        <v>319</v>
      </c>
      <c r="AJ27" s="174" t="s">
        <v>319</v>
      </c>
      <c r="AK27" s="174" t="s">
        <v>319</v>
      </c>
      <c r="AL27" s="174" t="s">
        <v>319</v>
      </c>
      <c r="AM27" s="174" t="s">
        <v>319</v>
      </c>
      <c r="AN27" s="174" t="s">
        <v>319</v>
      </c>
      <c r="AO27" s="174" t="s">
        <v>319</v>
      </c>
      <c r="AP27" s="174" t="s">
        <v>392</v>
      </c>
      <c r="AQ27" s="174" t="s">
        <v>319</v>
      </c>
      <c r="AR27" s="174" t="s">
        <v>319</v>
      </c>
      <c r="AS27" s="174" t="s">
        <v>319</v>
      </c>
      <c r="AT27" s="174" t="s">
        <v>319</v>
      </c>
      <c r="AU27" s="174" t="s">
        <v>319</v>
      </c>
      <c r="AV27" s="174" t="s">
        <v>319</v>
      </c>
      <c r="AW27" s="174" t="s">
        <v>319</v>
      </c>
      <c r="AX27" s="174" t="s">
        <v>319</v>
      </c>
      <c r="AY27" s="174" t="s">
        <v>319</v>
      </c>
      <c r="AZ27" s="174" t="s">
        <v>392</v>
      </c>
      <c r="BA27" s="174" t="s">
        <v>319</v>
      </c>
      <c r="BB27" s="174" t="s">
        <v>319</v>
      </c>
      <c r="BC27" s="174" t="s">
        <v>319</v>
      </c>
      <c r="BD27" s="174" t="s">
        <v>319</v>
      </c>
      <c r="BE27" s="174" t="s">
        <v>319</v>
      </c>
      <c r="BF27" s="174" t="s">
        <v>319</v>
      </c>
      <c r="BG27" s="174" t="s">
        <v>392</v>
      </c>
      <c r="BH27" s="174" t="s">
        <v>319</v>
      </c>
      <c r="BI27" s="162" t="s">
        <v>319</v>
      </c>
      <c r="BJ27" s="162" t="s">
        <v>319</v>
      </c>
      <c r="BK27" s="162" t="s">
        <v>319</v>
      </c>
      <c r="BL27" s="162" t="s">
        <v>319</v>
      </c>
      <c r="BM27" s="162" t="s">
        <v>319</v>
      </c>
      <c r="BN27" s="162" t="s">
        <v>319</v>
      </c>
      <c r="BO27" s="162" t="s">
        <v>392</v>
      </c>
      <c r="BP27" s="162" t="s">
        <v>319</v>
      </c>
      <c r="BQ27" s="162" t="s">
        <v>319</v>
      </c>
      <c r="BR27" s="162" t="s">
        <v>319</v>
      </c>
      <c r="BS27" s="162" t="s">
        <v>319</v>
      </c>
      <c r="BT27" s="162" t="s">
        <v>319</v>
      </c>
      <c r="BU27" s="162" t="s">
        <v>319</v>
      </c>
      <c r="BV27" s="162" t="s">
        <v>319</v>
      </c>
    </row>
    <row r="28" spans="1:74" x14ac:dyDescent="0.55000000000000004">
      <c r="A28" s="196" t="s">
        <v>170</v>
      </c>
      <c r="B28" s="209" t="s">
        <v>103</v>
      </c>
      <c r="C28" s="203" t="s">
        <v>392</v>
      </c>
      <c r="D28" s="203" t="s">
        <v>392</v>
      </c>
      <c r="E28" s="203" t="s">
        <v>392</v>
      </c>
      <c r="F28" s="203" t="s">
        <v>392</v>
      </c>
      <c r="G28" s="203" t="s">
        <v>391</v>
      </c>
      <c r="H28" s="203" t="s">
        <v>391</v>
      </c>
      <c r="I28" s="203" t="s">
        <v>391</v>
      </c>
      <c r="J28" s="207" t="s">
        <v>391</v>
      </c>
      <c r="K28" s="203" t="s">
        <v>430</v>
      </c>
      <c r="L28" s="203" t="s">
        <v>431</v>
      </c>
      <c r="M28" s="203" t="s">
        <v>432</v>
      </c>
      <c r="N28" s="203" t="s">
        <v>394</v>
      </c>
      <c r="O28" s="203" t="s">
        <v>433</v>
      </c>
      <c r="P28" s="203" t="s">
        <v>396</v>
      </c>
      <c r="Q28" s="186" t="s">
        <v>533</v>
      </c>
      <c r="R28" s="184" t="s">
        <v>582</v>
      </c>
      <c r="S28" s="184" t="s">
        <v>583</v>
      </c>
      <c r="T28" s="184" t="s">
        <v>584</v>
      </c>
      <c r="U28" s="184" t="s">
        <v>585</v>
      </c>
      <c r="V28" s="184" t="s">
        <v>319</v>
      </c>
      <c r="W28" s="184" t="s">
        <v>586</v>
      </c>
      <c r="X28" s="190" t="s">
        <v>466</v>
      </c>
      <c r="Y28" s="191" t="s">
        <v>587</v>
      </c>
      <c r="Z28" s="190" t="s">
        <v>392</v>
      </c>
      <c r="AA28" s="191" t="s">
        <v>588</v>
      </c>
      <c r="AB28" s="190" t="s">
        <v>319</v>
      </c>
      <c r="AC28" s="191" t="s">
        <v>589</v>
      </c>
      <c r="AD28" s="184" t="s">
        <v>319</v>
      </c>
      <c r="AE28" s="184" t="s">
        <v>319</v>
      </c>
      <c r="AF28" s="184" t="s">
        <v>319</v>
      </c>
      <c r="AG28" s="184" t="s">
        <v>590</v>
      </c>
      <c r="AH28" s="184" t="s">
        <v>591</v>
      </c>
      <c r="AI28" s="174" t="s">
        <v>392</v>
      </c>
      <c r="AJ28" s="174" t="s">
        <v>319</v>
      </c>
      <c r="AK28" s="174" t="s">
        <v>319</v>
      </c>
      <c r="AL28" s="174" t="s">
        <v>319</v>
      </c>
      <c r="AM28" s="174" t="s">
        <v>319</v>
      </c>
      <c r="AN28" s="174" t="s">
        <v>319</v>
      </c>
      <c r="AO28" s="174" t="s">
        <v>319</v>
      </c>
      <c r="AP28" s="174" t="s">
        <v>391</v>
      </c>
      <c r="AQ28" s="174" t="s">
        <v>392</v>
      </c>
      <c r="AR28" s="174" t="s">
        <v>319</v>
      </c>
      <c r="AS28" s="174" t="s">
        <v>319</v>
      </c>
      <c r="AT28" s="174" t="s">
        <v>319</v>
      </c>
      <c r="AU28" s="174" t="s">
        <v>319</v>
      </c>
      <c r="AV28" s="174" t="s">
        <v>319</v>
      </c>
      <c r="AW28" s="174" t="s">
        <v>319</v>
      </c>
      <c r="AX28" s="174" t="s">
        <v>319</v>
      </c>
      <c r="AY28" s="174" t="s">
        <v>319</v>
      </c>
      <c r="AZ28" s="174" t="s">
        <v>391</v>
      </c>
      <c r="BA28" s="174" t="s">
        <v>319</v>
      </c>
      <c r="BB28" s="174" t="s">
        <v>319</v>
      </c>
      <c r="BC28" s="174" t="s">
        <v>319</v>
      </c>
      <c r="BD28" s="174" t="s">
        <v>319</v>
      </c>
      <c r="BE28" s="174" t="s">
        <v>392</v>
      </c>
      <c r="BF28" s="174" t="s">
        <v>319</v>
      </c>
      <c r="BG28" s="174" t="s">
        <v>392</v>
      </c>
      <c r="BH28" s="174" t="s">
        <v>319</v>
      </c>
      <c r="BI28" s="162" t="s">
        <v>392</v>
      </c>
      <c r="BJ28" s="162" t="s">
        <v>319</v>
      </c>
      <c r="BK28" s="162" t="s">
        <v>319</v>
      </c>
      <c r="BL28" s="162" t="s">
        <v>319</v>
      </c>
      <c r="BM28" s="162" t="s">
        <v>319</v>
      </c>
      <c r="BN28" s="162" t="s">
        <v>319</v>
      </c>
      <c r="BO28" s="162" t="s">
        <v>391</v>
      </c>
      <c r="BP28" s="162" t="s">
        <v>319</v>
      </c>
      <c r="BQ28" s="162" t="s">
        <v>319</v>
      </c>
      <c r="BR28" s="162" t="s">
        <v>319</v>
      </c>
      <c r="BS28" s="162" t="s">
        <v>319</v>
      </c>
      <c r="BT28" s="162" t="s">
        <v>319</v>
      </c>
      <c r="BU28" s="162" t="s">
        <v>319</v>
      </c>
      <c r="BV28" s="162" t="s">
        <v>319</v>
      </c>
    </row>
    <row r="29" spans="1:74" x14ac:dyDescent="0.55000000000000004">
      <c r="A29" s="196" t="s">
        <v>171</v>
      </c>
      <c r="B29" s="209" t="s">
        <v>105</v>
      </c>
      <c r="C29" s="203" t="s">
        <v>391</v>
      </c>
      <c r="D29" s="203" t="s">
        <v>392</v>
      </c>
      <c r="E29" s="203" t="s">
        <v>392</v>
      </c>
      <c r="F29" s="203" t="s">
        <v>391</v>
      </c>
      <c r="G29" s="203" t="s">
        <v>391</v>
      </c>
      <c r="H29" s="203" t="s">
        <v>391</v>
      </c>
      <c r="I29" s="203" t="s">
        <v>391</v>
      </c>
      <c r="J29" s="207" t="s">
        <v>391</v>
      </c>
      <c r="K29" s="203" t="s">
        <v>430</v>
      </c>
      <c r="L29" s="203" t="s">
        <v>431</v>
      </c>
      <c r="M29" s="203" t="s">
        <v>434</v>
      </c>
      <c r="N29" s="203" t="s">
        <v>394</v>
      </c>
      <c r="O29" s="203" t="s">
        <v>435</v>
      </c>
      <c r="P29" s="203" t="s">
        <v>396</v>
      </c>
      <c r="Q29" s="186" t="s">
        <v>592</v>
      </c>
      <c r="R29" s="184" t="s">
        <v>319</v>
      </c>
      <c r="S29" s="184" t="s">
        <v>593</v>
      </c>
      <c r="T29" s="184" t="s">
        <v>594</v>
      </c>
      <c r="U29" s="184" t="s">
        <v>595</v>
      </c>
      <c r="V29" s="184" t="s">
        <v>596</v>
      </c>
      <c r="W29" s="184" t="s">
        <v>713</v>
      </c>
      <c r="X29" s="190" t="s">
        <v>466</v>
      </c>
      <c r="Y29" s="191" t="s">
        <v>597</v>
      </c>
      <c r="Z29" s="190" t="s">
        <v>392</v>
      </c>
      <c r="AA29" s="191" t="s">
        <v>598</v>
      </c>
      <c r="AB29" s="190" t="s">
        <v>319</v>
      </c>
      <c r="AC29" s="191" t="s">
        <v>599</v>
      </c>
      <c r="AD29" s="184" t="s">
        <v>319</v>
      </c>
      <c r="AE29" s="184" t="s">
        <v>319</v>
      </c>
      <c r="AF29" s="184" t="s">
        <v>319</v>
      </c>
      <c r="AG29" s="184" t="s">
        <v>600</v>
      </c>
      <c r="AH29" s="184" t="s">
        <v>601</v>
      </c>
      <c r="AI29" s="174" t="s">
        <v>392</v>
      </c>
      <c r="AJ29" s="174" t="s">
        <v>392</v>
      </c>
      <c r="AK29" s="174" t="s">
        <v>319</v>
      </c>
      <c r="AL29" s="174" t="s">
        <v>392</v>
      </c>
      <c r="AM29" s="174" t="s">
        <v>319</v>
      </c>
      <c r="AN29" s="174" t="s">
        <v>392</v>
      </c>
      <c r="AO29" s="174" t="s">
        <v>319</v>
      </c>
      <c r="AP29" s="174" t="s">
        <v>391</v>
      </c>
      <c r="AQ29" s="174" t="s">
        <v>392</v>
      </c>
      <c r="AR29" s="174" t="s">
        <v>319</v>
      </c>
      <c r="AS29" s="174" t="s">
        <v>319</v>
      </c>
      <c r="AT29" s="174" t="s">
        <v>319</v>
      </c>
      <c r="AU29" s="174" t="s">
        <v>319</v>
      </c>
      <c r="AV29" s="174" t="s">
        <v>319</v>
      </c>
      <c r="AW29" s="174" t="s">
        <v>319</v>
      </c>
      <c r="AX29" s="174" t="s">
        <v>319</v>
      </c>
      <c r="AY29" s="174" t="s">
        <v>319</v>
      </c>
      <c r="AZ29" s="174" t="s">
        <v>391</v>
      </c>
      <c r="BA29" s="174" t="s">
        <v>319</v>
      </c>
      <c r="BB29" s="174" t="s">
        <v>319</v>
      </c>
      <c r="BC29" s="174" t="s">
        <v>319</v>
      </c>
      <c r="BD29" s="174" t="s">
        <v>319</v>
      </c>
      <c r="BE29" s="174" t="s">
        <v>392</v>
      </c>
      <c r="BF29" s="174" t="s">
        <v>319</v>
      </c>
      <c r="BG29" s="174" t="s">
        <v>392</v>
      </c>
      <c r="BH29" s="174" t="s">
        <v>319</v>
      </c>
      <c r="BI29" s="162" t="s">
        <v>319</v>
      </c>
      <c r="BJ29" s="162" t="s">
        <v>319</v>
      </c>
      <c r="BK29" s="162" t="s">
        <v>319</v>
      </c>
      <c r="BL29" s="162" t="s">
        <v>319</v>
      </c>
      <c r="BM29" s="162" t="s">
        <v>319</v>
      </c>
      <c r="BN29" s="162" t="s">
        <v>702</v>
      </c>
      <c r="BO29" s="162" t="s">
        <v>391</v>
      </c>
      <c r="BP29" s="162" t="s">
        <v>319</v>
      </c>
      <c r="BQ29" s="162" t="s">
        <v>319</v>
      </c>
      <c r="BR29" s="162" t="s">
        <v>319</v>
      </c>
      <c r="BS29" s="162" t="s">
        <v>319</v>
      </c>
      <c r="BT29" s="162" t="s">
        <v>319</v>
      </c>
      <c r="BU29" s="162" t="s">
        <v>319</v>
      </c>
      <c r="BV29" s="162" t="s">
        <v>319</v>
      </c>
    </row>
    <row r="30" spans="1:74" x14ac:dyDescent="0.55000000000000004">
      <c r="A30" s="196" t="s">
        <v>172</v>
      </c>
      <c r="B30" s="209" t="s">
        <v>108</v>
      </c>
      <c r="C30" s="203" t="s">
        <v>391</v>
      </c>
      <c r="D30" s="203" t="s">
        <v>392</v>
      </c>
      <c r="E30" s="203" t="s">
        <v>392</v>
      </c>
      <c r="F30" s="203" t="s">
        <v>392</v>
      </c>
      <c r="G30" s="203" t="s">
        <v>391</v>
      </c>
      <c r="H30" s="203" t="s">
        <v>391</v>
      </c>
      <c r="I30" s="203" t="s">
        <v>392</v>
      </c>
      <c r="J30" s="207" t="s">
        <v>391</v>
      </c>
      <c r="K30" s="203" t="s">
        <v>419</v>
      </c>
      <c r="L30" s="203" t="s">
        <v>431</v>
      </c>
      <c r="M30" s="203" t="s">
        <v>436</v>
      </c>
      <c r="N30" s="203" t="s">
        <v>394</v>
      </c>
      <c r="O30" s="203" t="s">
        <v>277</v>
      </c>
      <c r="P30" s="203" t="s">
        <v>416</v>
      </c>
      <c r="Q30" s="186" t="s">
        <v>602</v>
      </c>
      <c r="R30" s="184" t="s">
        <v>319</v>
      </c>
      <c r="S30" s="184" t="s">
        <v>319</v>
      </c>
      <c r="T30" s="184" t="s">
        <v>319</v>
      </c>
      <c r="U30" s="184" t="s">
        <v>603</v>
      </c>
      <c r="V30" s="184" t="s">
        <v>604</v>
      </c>
      <c r="W30" s="184" t="s">
        <v>605</v>
      </c>
      <c r="X30" s="190" t="s">
        <v>466</v>
      </c>
      <c r="Y30" s="191" t="s">
        <v>606</v>
      </c>
      <c r="Z30" s="190" t="s">
        <v>392</v>
      </c>
      <c r="AA30" s="191" t="s">
        <v>607</v>
      </c>
      <c r="AB30" s="190" t="s">
        <v>319</v>
      </c>
      <c r="AC30" s="191" t="s">
        <v>608</v>
      </c>
      <c r="AD30" s="184" t="s">
        <v>319</v>
      </c>
      <c r="AE30" s="184" t="s">
        <v>319</v>
      </c>
      <c r="AF30" s="184" t="s">
        <v>319</v>
      </c>
      <c r="AG30" s="184" t="s">
        <v>609</v>
      </c>
      <c r="AH30" s="184" t="s">
        <v>610</v>
      </c>
      <c r="AI30" s="174" t="s">
        <v>392</v>
      </c>
      <c r="AJ30" s="174" t="s">
        <v>319</v>
      </c>
      <c r="AK30" s="174" t="s">
        <v>319</v>
      </c>
      <c r="AL30" s="174" t="s">
        <v>319</v>
      </c>
      <c r="AM30" s="174" t="s">
        <v>319</v>
      </c>
      <c r="AN30" s="174" t="s">
        <v>319</v>
      </c>
      <c r="AO30" s="174" t="s">
        <v>319</v>
      </c>
      <c r="AP30" s="174" t="s">
        <v>391</v>
      </c>
      <c r="AQ30" s="174" t="s">
        <v>392</v>
      </c>
      <c r="AR30" s="174" t="s">
        <v>319</v>
      </c>
      <c r="AS30" s="174" t="s">
        <v>704</v>
      </c>
      <c r="AT30" s="174" t="s">
        <v>319</v>
      </c>
      <c r="AU30" s="174" t="s">
        <v>319</v>
      </c>
      <c r="AV30" s="174" t="s">
        <v>319</v>
      </c>
      <c r="AW30" s="174" t="s">
        <v>319</v>
      </c>
      <c r="AX30" s="174" t="s">
        <v>319</v>
      </c>
      <c r="AY30" s="174" t="s">
        <v>319</v>
      </c>
      <c r="AZ30" s="174" t="s">
        <v>391</v>
      </c>
      <c r="BA30" s="174" t="s">
        <v>319</v>
      </c>
      <c r="BB30" s="174" t="s">
        <v>319</v>
      </c>
      <c r="BC30" s="174" t="s">
        <v>319</v>
      </c>
      <c r="BD30" s="174" t="s">
        <v>319</v>
      </c>
      <c r="BE30" s="174" t="s">
        <v>392</v>
      </c>
      <c r="BF30" s="174" t="s">
        <v>319</v>
      </c>
      <c r="BG30" s="174" t="s">
        <v>392</v>
      </c>
      <c r="BH30" s="174" t="s">
        <v>319</v>
      </c>
      <c r="BI30" s="162" t="s">
        <v>319</v>
      </c>
      <c r="BJ30" s="162" t="s">
        <v>319</v>
      </c>
      <c r="BK30" s="162" t="s">
        <v>319</v>
      </c>
      <c r="BL30" s="162" t="s">
        <v>319</v>
      </c>
      <c r="BM30" s="162" t="s">
        <v>319</v>
      </c>
      <c r="BN30" s="162" t="s">
        <v>319</v>
      </c>
      <c r="BO30" s="162" t="s">
        <v>392</v>
      </c>
      <c r="BP30" s="162" t="s">
        <v>319</v>
      </c>
      <c r="BQ30" s="162" t="s">
        <v>319</v>
      </c>
      <c r="BR30" s="162" t="s">
        <v>319</v>
      </c>
      <c r="BS30" s="162" t="s">
        <v>319</v>
      </c>
      <c r="BT30" s="162" t="s">
        <v>319</v>
      </c>
      <c r="BU30" s="162" t="s">
        <v>319</v>
      </c>
      <c r="BV30" s="162" t="s">
        <v>319</v>
      </c>
    </row>
    <row r="31" spans="1:74" x14ac:dyDescent="0.55000000000000004">
      <c r="A31" s="196" t="s">
        <v>173</v>
      </c>
      <c r="B31" s="209" t="s">
        <v>111</v>
      </c>
      <c r="C31" s="203" t="s">
        <v>391</v>
      </c>
      <c r="D31" s="203" t="s">
        <v>391</v>
      </c>
      <c r="E31" s="203" t="s">
        <v>391</v>
      </c>
      <c r="F31" s="203" t="s">
        <v>391</v>
      </c>
      <c r="G31" s="203" t="s">
        <v>391</v>
      </c>
      <c r="H31" s="203" t="s">
        <v>392</v>
      </c>
      <c r="I31" s="203" t="s">
        <v>391</v>
      </c>
      <c r="J31" s="207" t="s">
        <v>391</v>
      </c>
      <c r="K31" s="203" t="s">
        <v>419</v>
      </c>
      <c r="L31" s="203" t="s">
        <v>431</v>
      </c>
      <c r="M31" s="203" t="s">
        <v>438</v>
      </c>
      <c r="N31" s="203" t="s">
        <v>394</v>
      </c>
      <c r="O31" s="203" t="s">
        <v>275</v>
      </c>
      <c r="P31" s="203" t="s">
        <v>396</v>
      </c>
      <c r="Q31" s="186" t="s">
        <v>611</v>
      </c>
      <c r="R31" s="184" t="s">
        <v>319</v>
      </c>
      <c r="S31" s="184" t="s">
        <v>612</v>
      </c>
      <c r="T31" s="184" t="s">
        <v>319</v>
      </c>
      <c r="U31" s="184" t="s">
        <v>319</v>
      </c>
      <c r="V31" s="184" t="s">
        <v>319</v>
      </c>
      <c r="W31" s="184" t="s">
        <v>613</v>
      </c>
      <c r="X31" s="190" t="s">
        <v>466</v>
      </c>
      <c r="Y31" s="194" t="s">
        <v>614</v>
      </c>
      <c r="Z31" s="190" t="s">
        <v>392</v>
      </c>
      <c r="AA31" s="191" t="s">
        <v>615</v>
      </c>
      <c r="AB31" s="190" t="s">
        <v>319</v>
      </c>
      <c r="AC31" s="194" t="s">
        <v>616</v>
      </c>
      <c r="AD31" s="184" t="s">
        <v>319</v>
      </c>
      <c r="AE31" s="184" t="s">
        <v>319</v>
      </c>
      <c r="AF31" s="184" t="s">
        <v>319</v>
      </c>
      <c r="AG31" s="184" t="s">
        <v>617</v>
      </c>
      <c r="AH31" s="184" t="s">
        <v>488</v>
      </c>
      <c r="AI31" s="174" t="s">
        <v>319</v>
      </c>
      <c r="AJ31" s="174" t="s">
        <v>319</v>
      </c>
      <c r="AK31" s="174" t="s">
        <v>319</v>
      </c>
      <c r="AL31" s="174" t="s">
        <v>392</v>
      </c>
      <c r="AM31" s="174" t="s">
        <v>319</v>
      </c>
      <c r="AN31" s="174" t="s">
        <v>319</v>
      </c>
      <c r="AO31" s="174" t="s">
        <v>319</v>
      </c>
      <c r="AP31" s="174" t="s">
        <v>391</v>
      </c>
      <c r="AQ31" s="174" t="s">
        <v>392</v>
      </c>
      <c r="AR31" s="174" t="s">
        <v>392</v>
      </c>
      <c r="AS31" s="174" t="s">
        <v>319</v>
      </c>
      <c r="AT31" s="174" t="s">
        <v>319</v>
      </c>
      <c r="AU31" s="174" t="s">
        <v>319</v>
      </c>
      <c r="AV31" s="174" t="s">
        <v>319</v>
      </c>
      <c r="AW31" s="174" t="s">
        <v>319</v>
      </c>
      <c r="AX31" s="174" t="s">
        <v>319</v>
      </c>
      <c r="AY31" s="174" t="s">
        <v>319</v>
      </c>
      <c r="AZ31" s="174" t="s">
        <v>391</v>
      </c>
      <c r="BA31" s="174" t="s">
        <v>319</v>
      </c>
      <c r="BB31" s="174" t="s">
        <v>319</v>
      </c>
      <c r="BC31" s="174" t="s">
        <v>319</v>
      </c>
      <c r="BD31" s="174" t="s">
        <v>319</v>
      </c>
      <c r="BE31" s="174" t="s">
        <v>392</v>
      </c>
      <c r="BF31" s="174" t="s">
        <v>319</v>
      </c>
      <c r="BG31" s="174" t="s">
        <v>392</v>
      </c>
      <c r="BH31" s="174" t="s">
        <v>319</v>
      </c>
      <c r="BI31" s="162" t="s">
        <v>392</v>
      </c>
      <c r="BJ31" s="162" t="s">
        <v>319</v>
      </c>
      <c r="BK31" s="162" t="s">
        <v>319</v>
      </c>
      <c r="BL31" s="162" t="s">
        <v>319</v>
      </c>
      <c r="BM31" s="162" t="s">
        <v>319</v>
      </c>
      <c r="BN31" s="162" t="s">
        <v>319</v>
      </c>
      <c r="BO31" s="162" t="s">
        <v>391</v>
      </c>
      <c r="BP31" s="162" t="s">
        <v>319</v>
      </c>
      <c r="BQ31" s="162" t="s">
        <v>319</v>
      </c>
      <c r="BR31" s="162" t="s">
        <v>319</v>
      </c>
      <c r="BS31" s="162" t="s">
        <v>319</v>
      </c>
      <c r="BT31" s="162" t="s">
        <v>319</v>
      </c>
      <c r="BU31" s="162" t="s">
        <v>319</v>
      </c>
      <c r="BV31" s="162" t="s">
        <v>319</v>
      </c>
    </row>
    <row r="32" spans="1:74" x14ac:dyDescent="0.55000000000000004">
      <c r="A32" s="196" t="s">
        <v>174</v>
      </c>
      <c r="B32" s="209" t="s">
        <v>114</v>
      </c>
      <c r="C32" s="203" t="s">
        <v>391</v>
      </c>
      <c r="D32" s="203" t="s">
        <v>392</v>
      </c>
      <c r="E32" s="203" t="s">
        <v>392</v>
      </c>
      <c r="F32" s="203" t="s">
        <v>392</v>
      </c>
      <c r="G32" s="203" t="s">
        <v>391</v>
      </c>
      <c r="H32" s="203" t="s">
        <v>391</v>
      </c>
      <c r="I32" s="203" t="s">
        <v>391</v>
      </c>
      <c r="J32" s="207" t="s">
        <v>391</v>
      </c>
      <c r="K32" s="203" t="s">
        <v>402</v>
      </c>
      <c r="L32" s="203" t="s">
        <v>431</v>
      </c>
      <c r="M32" s="203" t="s">
        <v>439</v>
      </c>
      <c r="N32" s="203" t="s">
        <v>394</v>
      </c>
      <c r="O32" s="203" t="s">
        <v>277</v>
      </c>
      <c r="P32" s="203" t="s">
        <v>396</v>
      </c>
      <c r="Q32" s="186" t="s">
        <v>618</v>
      </c>
      <c r="R32" s="184" t="s">
        <v>619</v>
      </c>
      <c r="S32" s="184" t="s">
        <v>620</v>
      </c>
      <c r="T32" s="184" t="s">
        <v>621</v>
      </c>
      <c r="U32" s="184" t="s">
        <v>622</v>
      </c>
      <c r="V32" s="184" t="s">
        <v>623</v>
      </c>
      <c r="W32" s="184" t="s">
        <v>605</v>
      </c>
      <c r="X32" s="190" t="s">
        <v>466</v>
      </c>
      <c r="Y32" s="191" t="s">
        <v>624</v>
      </c>
      <c r="Z32" s="190" t="s">
        <v>392</v>
      </c>
      <c r="AA32" s="191" t="s">
        <v>625</v>
      </c>
      <c r="AB32" s="190" t="s">
        <v>319</v>
      </c>
      <c r="AC32" s="191" t="s">
        <v>626</v>
      </c>
      <c r="AD32" s="184" t="s">
        <v>319</v>
      </c>
      <c r="AE32" s="184" t="s">
        <v>319</v>
      </c>
      <c r="AF32" s="184" t="s">
        <v>319</v>
      </c>
      <c r="AG32" s="184" t="s">
        <v>627</v>
      </c>
      <c r="AH32" s="184" t="s">
        <v>628</v>
      </c>
      <c r="AI32" s="174" t="s">
        <v>392</v>
      </c>
      <c r="AJ32" s="174" t="s">
        <v>392</v>
      </c>
      <c r="AK32" s="174" t="s">
        <v>319</v>
      </c>
      <c r="AL32" s="174" t="s">
        <v>392</v>
      </c>
      <c r="AM32" s="174" t="s">
        <v>319</v>
      </c>
      <c r="AN32" s="174" t="s">
        <v>319</v>
      </c>
      <c r="AO32" s="174" t="s">
        <v>319</v>
      </c>
      <c r="AP32" s="174" t="s">
        <v>391</v>
      </c>
      <c r="AQ32" s="174" t="s">
        <v>392</v>
      </c>
      <c r="AR32" s="174" t="s">
        <v>392</v>
      </c>
      <c r="AS32" s="174" t="s">
        <v>705</v>
      </c>
      <c r="AT32" s="174" t="s">
        <v>319</v>
      </c>
      <c r="AU32" s="174" t="s">
        <v>319</v>
      </c>
      <c r="AV32" s="174" t="s">
        <v>319</v>
      </c>
      <c r="AW32" s="174" t="s">
        <v>319</v>
      </c>
      <c r="AX32" s="174" t="s">
        <v>319</v>
      </c>
      <c r="AY32" s="174" t="s">
        <v>319</v>
      </c>
      <c r="AZ32" s="174" t="s">
        <v>391</v>
      </c>
      <c r="BA32" s="174" t="s">
        <v>319</v>
      </c>
      <c r="BB32" s="174" t="s">
        <v>319</v>
      </c>
      <c r="BC32" s="174" t="s">
        <v>319</v>
      </c>
      <c r="BD32" s="174" t="s">
        <v>319</v>
      </c>
      <c r="BE32" s="174" t="s">
        <v>392</v>
      </c>
      <c r="BF32" s="174" t="s">
        <v>319</v>
      </c>
      <c r="BG32" s="174" t="s">
        <v>391</v>
      </c>
      <c r="BH32" s="174" t="s">
        <v>319</v>
      </c>
      <c r="BI32" s="162" t="s">
        <v>319</v>
      </c>
      <c r="BJ32" s="162" t="s">
        <v>319</v>
      </c>
      <c r="BK32" s="162" t="s">
        <v>319</v>
      </c>
      <c r="BL32" s="162" t="s">
        <v>319</v>
      </c>
      <c r="BM32" s="162" t="s">
        <v>319</v>
      </c>
      <c r="BN32" s="162" t="s">
        <v>319</v>
      </c>
      <c r="BO32" s="162" t="s">
        <v>392</v>
      </c>
      <c r="BP32" s="162" t="s">
        <v>319</v>
      </c>
      <c r="BQ32" s="162" t="s">
        <v>319</v>
      </c>
      <c r="BR32" s="162" t="s">
        <v>319</v>
      </c>
      <c r="BS32" s="162" t="s">
        <v>319</v>
      </c>
      <c r="BT32" s="162" t="s">
        <v>319</v>
      </c>
      <c r="BU32" s="162" t="s">
        <v>319</v>
      </c>
      <c r="BV32" s="162" t="s">
        <v>319</v>
      </c>
    </row>
    <row r="33" spans="1:74" x14ac:dyDescent="0.55000000000000004">
      <c r="A33" s="196" t="s">
        <v>175</v>
      </c>
      <c r="B33" s="210" t="s">
        <v>115</v>
      </c>
      <c r="C33" s="203" t="s">
        <v>392</v>
      </c>
      <c r="D33" s="203" t="s">
        <v>392</v>
      </c>
      <c r="E33" s="203" t="s">
        <v>392</v>
      </c>
      <c r="F33" s="203" t="s">
        <v>391</v>
      </c>
      <c r="G33" s="203" t="s">
        <v>391</v>
      </c>
      <c r="H33" s="203" t="s">
        <v>391</v>
      </c>
      <c r="I33" s="203" t="s">
        <v>391</v>
      </c>
      <c r="J33" s="207" t="s">
        <v>391</v>
      </c>
      <c r="K33" s="203" t="s">
        <v>440</v>
      </c>
      <c r="L33" s="203" t="s">
        <v>431</v>
      </c>
      <c r="M33" s="203" t="s">
        <v>441</v>
      </c>
      <c r="N33" s="203" t="s">
        <v>394</v>
      </c>
      <c r="O33" s="203" t="s">
        <v>277</v>
      </c>
      <c r="P33" s="203" t="s">
        <v>396</v>
      </c>
      <c r="Q33" s="186" t="s">
        <v>629</v>
      </c>
      <c r="R33" s="184" t="s">
        <v>630</v>
      </c>
      <c r="S33" s="184" t="s">
        <v>631</v>
      </c>
      <c r="T33" s="184" t="s">
        <v>319</v>
      </c>
      <c r="U33" s="184" t="s">
        <v>319</v>
      </c>
      <c r="V33" s="184" t="s">
        <v>632</v>
      </c>
      <c r="W33" s="184" t="s">
        <v>633</v>
      </c>
      <c r="X33" s="190" t="s">
        <v>466</v>
      </c>
      <c r="Y33" s="191" t="s">
        <v>631</v>
      </c>
      <c r="Z33" s="190" t="s">
        <v>392</v>
      </c>
      <c r="AA33" s="191" t="s">
        <v>634</v>
      </c>
      <c r="AB33" s="190" t="s">
        <v>319</v>
      </c>
      <c r="AC33" s="191" t="s">
        <v>635</v>
      </c>
      <c r="AD33" s="184" t="s">
        <v>319</v>
      </c>
      <c r="AE33" s="184" t="s">
        <v>319</v>
      </c>
      <c r="AF33" s="184" t="s">
        <v>319</v>
      </c>
      <c r="AG33" s="184" t="s">
        <v>636</v>
      </c>
      <c r="AH33" s="184" t="s">
        <v>637</v>
      </c>
      <c r="AI33" s="174" t="s">
        <v>392</v>
      </c>
      <c r="AJ33" s="174" t="s">
        <v>319</v>
      </c>
      <c r="AK33" s="174" t="s">
        <v>319</v>
      </c>
      <c r="AL33" s="174" t="s">
        <v>392</v>
      </c>
      <c r="AM33" s="174" t="s">
        <v>392</v>
      </c>
      <c r="AN33" s="174" t="s">
        <v>319</v>
      </c>
      <c r="AO33" s="174" t="s">
        <v>319</v>
      </c>
      <c r="AP33" s="174" t="s">
        <v>391</v>
      </c>
      <c r="AQ33" s="174" t="s">
        <v>392</v>
      </c>
      <c r="AR33" s="174" t="s">
        <v>319</v>
      </c>
      <c r="AS33" s="174" t="s">
        <v>319</v>
      </c>
      <c r="AT33" s="174" t="s">
        <v>319</v>
      </c>
      <c r="AU33" s="174" t="s">
        <v>319</v>
      </c>
      <c r="AV33" s="174" t="s">
        <v>392</v>
      </c>
      <c r="AW33" s="174" t="s">
        <v>392</v>
      </c>
      <c r="AX33" s="174" t="s">
        <v>319</v>
      </c>
      <c r="AY33" s="174" t="s">
        <v>319</v>
      </c>
      <c r="AZ33" s="174" t="s">
        <v>391</v>
      </c>
      <c r="BA33" s="174" t="s">
        <v>319</v>
      </c>
      <c r="BB33" s="174" t="s">
        <v>319</v>
      </c>
      <c r="BC33" s="174" t="s">
        <v>319</v>
      </c>
      <c r="BD33" s="174" t="s">
        <v>319</v>
      </c>
      <c r="BE33" s="174" t="s">
        <v>392</v>
      </c>
      <c r="BF33" s="174" t="s">
        <v>319</v>
      </c>
      <c r="BG33" s="174" t="s">
        <v>392</v>
      </c>
      <c r="BH33" s="174" t="s">
        <v>319</v>
      </c>
      <c r="BI33" s="162" t="s">
        <v>319</v>
      </c>
      <c r="BJ33" s="162" t="s">
        <v>319</v>
      </c>
      <c r="BK33" s="162" t="s">
        <v>319</v>
      </c>
      <c r="BL33" s="162" t="s">
        <v>392</v>
      </c>
      <c r="BM33" s="162" t="s">
        <v>319</v>
      </c>
      <c r="BN33" s="162" t="s">
        <v>319</v>
      </c>
      <c r="BO33" s="162" t="s">
        <v>391</v>
      </c>
      <c r="BP33" s="162" t="s">
        <v>319</v>
      </c>
      <c r="BQ33" s="162" t="s">
        <v>319</v>
      </c>
      <c r="BR33" s="162" t="s">
        <v>319</v>
      </c>
      <c r="BS33" s="162" t="s">
        <v>319</v>
      </c>
      <c r="BT33" s="162" t="s">
        <v>319</v>
      </c>
      <c r="BU33" s="162" t="s">
        <v>319</v>
      </c>
      <c r="BV33" s="162" t="s">
        <v>319</v>
      </c>
    </row>
    <row r="34" spans="1:74" x14ac:dyDescent="0.55000000000000004">
      <c r="A34" s="196" t="s">
        <v>176</v>
      </c>
      <c r="B34" s="210" t="s">
        <v>118</v>
      </c>
      <c r="C34" s="203" t="s">
        <v>392</v>
      </c>
      <c r="D34" s="203" t="s">
        <v>392</v>
      </c>
      <c r="E34" s="203" t="s">
        <v>392</v>
      </c>
      <c r="F34" s="203" t="s">
        <v>391</v>
      </c>
      <c r="G34" s="203" t="s">
        <v>391</v>
      </c>
      <c r="H34" s="203" t="s">
        <v>391</v>
      </c>
      <c r="I34" s="203" t="s">
        <v>391</v>
      </c>
      <c r="J34" s="207" t="s">
        <v>391</v>
      </c>
      <c r="K34" s="203" t="s">
        <v>442</v>
      </c>
      <c r="L34" s="203" t="s">
        <v>431</v>
      </c>
      <c r="M34" s="203" t="s">
        <v>443</v>
      </c>
      <c r="N34" s="203" t="s">
        <v>394</v>
      </c>
      <c r="O34" s="203" t="s">
        <v>277</v>
      </c>
      <c r="P34" s="203" t="s">
        <v>396</v>
      </c>
      <c r="Q34" s="186" t="s">
        <v>638</v>
      </c>
      <c r="R34" s="184" t="s">
        <v>319</v>
      </c>
      <c r="S34" s="184" t="s">
        <v>639</v>
      </c>
      <c r="T34" s="184" t="s">
        <v>640</v>
      </c>
      <c r="U34" s="184" t="s">
        <v>319</v>
      </c>
      <c r="V34" s="184" t="s">
        <v>641</v>
      </c>
      <c r="W34" s="184" t="s">
        <v>642</v>
      </c>
      <c r="X34" s="190" t="s">
        <v>466</v>
      </c>
      <c r="Y34" s="191" t="s">
        <v>643</v>
      </c>
      <c r="Z34" s="190" t="s">
        <v>392</v>
      </c>
      <c r="AA34" s="191" t="s">
        <v>644</v>
      </c>
      <c r="AB34" s="190" t="s">
        <v>319</v>
      </c>
      <c r="AC34" s="191" t="s">
        <v>645</v>
      </c>
      <c r="AD34" s="184" t="s">
        <v>319</v>
      </c>
      <c r="AE34" s="184" t="s">
        <v>319</v>
      </c>
      <c r="AF34" s="184" t="s">
        <v>319</v>
      </c>
      <c r="AG34" s="184" t="s">
        <v>646</v>
      </c>
      <c r="AH34" s="184" t="s">
        <v>647</v>
      </c>
      <c r="AI34" s="174" t="s">
        <v>392</v>
      </c>
      <c r="AJ34" s="174" t="s">
        <v>392</v>
      </c>
      <c r="AK34" s="174" t="s">
        <v>319</v>
      </c>
      <c r="AL34" s="174" t="s">
        <v>319</v>
      </c>
      <c r="AM34" s="174" t="s">
        <v>319</v>
      </c>
      <c r="AN34" s="174" t="s">
        <v>319</v>
      </c>
      <c r="AO34" s="174" t="s">
        <v>319</v>
      </c>
      <c r="AP34" s="174" t="s">
        <v>391</v>
      </c>
      <c r="AQ34" s="174" t="s">
        <v>392</v>
      </c>
      <c r="AR34" s="174" t="s">
        <v>319</v>
      </c>
      <c r="AS34" s="174" t="s">
        <v>319</v>
      </c>
      <c r="AT34" s="174" t="s">
        <v>319</v>
      </c>
      <c r="AU34" s="174" t="s">
        <v>319</v>
      </c>
      <c r="AV34" s="174" t="s">
        <v>319</v>
      </c>
      <c r="AW34" s="174" t="s">
        <v>319</v>
      </c>
      <c r="AX34" s="174" t="s">
        <v>319</v>
      </c>
      <c r="AY34" s="174" t="s">
        <v>319</v>
      </c>
      <c r="AZ34" s="174" t="s">
        <v>391</v>
      </c>
      <c r="BA34" s="174" t="s">
        <v>319</v>
      </c>
      <c r="BB34" s="174" t="s">
        <v>319</v>
      </c>
      <c r="BC34" s="174" t="s">
        <v>319</v>
      </c>
      <c r="BD34" s="174" t="s">
        <v>319</v>
      </c>
      <c r="BE34" s="174" t="s">
        <v>392</v>
      </c>
      <c r="BF34" s="174" t="s">
        <v>319</v>
      </c>
      <c r="BG34" s="174" t="s">
        <v>391</v>
      </c>
      <c r="BH34" s="174" t="s">
        <v>319</v>
      </c>
      <c r="BI34" s="162" t="s">
        <v>319</v>
      </c>
      <c r="BJ34" s="162" t="s">
        <v>319</v>
      </c>
      <c r="BK34" s="162" t="s">
        <v>319</v>
      </c>
      <c r="BL34" s="162" t="s">
        <v>319</v>
      </c>
      <c r="BM34" s="162" t="s">
        <v>319</v>
      </c>
      <c r="BN34" s="162" t="s">
        <v>319</v>
      </c>
      <c r="BO34" s="162" t="s">
        <v>392</v>
      </c>
      <c r="BP34" s="162" t="s">
        <v>319</v>
      </c>
      <c r="BQ34" s="162" t="s">
        <v>319</v>
      </c>
      <c r="BR34" s="162" t="s">
        <v>319</v>
      </c>
      <c r="BS34" s="162" t="s">
        <v>319</v>
      </c>
      <c r="BT34" s="162" t="s">
        <v>319</v>
      </c>
      <c r="BU34" s="162" t="s">
        <v>319</v>
      </c>
      <c r="BV34" s="162" t="s">
        <v>319</v>
      </c>
    </row>
  </sheetData>
  <mergeCells count="38">
    <mergeCell ref="C18:J18"/>
    <mergeCell ref="Q2:AH2"/>
    <mergeCell ref="R3:V3"/>
    <mergeCell ref="Z3:AC3"/>
    <mergeCell ref="AD3:AF3"/>
    <mergeCell ref="AG3:AH3"/>
    <mergeCell ref="Q16:AH16"/>
    <mergeCell ref="R17:V17"/>
    <mergeCell ref="AD17:AF17"/>
    <mergeCell ref="AG17:AH17"/>
    <mergeCell ref="C2:P2"/>
    <mergeCell ref="C3:K3"/>
    <mergeCell ref="L3:P3"/>
    <mergeCell ref="C4:J4"/>
    <mergeCell ref="C16:P16"/>
    <mergeCell ref="C17:K17"/>
    <mergeCell ref="AI18:AP18"/>
    <mergeCell ref="AQ18:AZ18"/>
    <mergeCell ref="BA18:BG18"/>
    <mergeCell ref="BI18:BO18"/>
    <mergeCell ref="AI2:BH2"/>
    <mergeCell ref="BI2:BV2"/>
    <mergeCell ref="BP3:BQ3"/>
    <mergeCell ref="BR3:BU3"/>
    <mergeCell ref="AI4:AP4"/>
    <mergeCell ref="AQ4:AZ4"/>
    <mergeCell ref="BA4:BG4"/>
    <mergeCell ref="BI4:BO4"/>
    <mergeCell ref="A15:BV15"/>
    <mergeCell ref="X3:Y3"/>
    <mergeCell ref="A1:BV1"/>
    <mergeCell ref="AI16:BH16"/>
    <mergeCell ref="BI16:BV16"/>
    <mergeCell ref="BP17:BQ17"/>
    <mergeCell ref="BR17:BU17"/>
    <mergeCell ref="L17:P17"/>
    <mergeCell ref="X17:Y17"/>
    <mergeCell ref="Z17:AC17"/>
  </mergeCells>
  <conditionalFormatting sqref="B28:B29">
    <cfRule type="duplicateValues" dxfId="0" priority="1"/>
  </conditionalFormatting>
  <hyperlinks>
    <hyperlink ref="B28" r:id="rId1"/>
    <hyperlink ref="B29" r:id="rId2"/>
    <hyperlink ref="B30" r:id="rId3"/>
    <hyperlink ref="B31" r:id="rId4"/>
    <hyperlink ref="B32" r:id="rId5"/>
    <hyperlink ref="B34" r:id="rId6"/>
    <hyperlink ref="B20" r:id="rId7"/>
    <hyperlink ref="B21" r:id="rId8"/>
    <hyperlink ref="B22" r:id="rId9"/>
    <hyperlink ref="B24" r:id="rId10"/>
    <hyperlink ref="B25" r:id="rId11"/>
    <hyperlink ref="B26" r:id="rId12"/>
    <hyperlink ref="B27" r:id="rId13"/>
    <hyperlink ref="B23" r:id="rId14"/>
    <hyperlink ref="B33" r:id="rId15"/>
  </hyperlinks>
  <pageMargins left="0.7" right="0.7" top="0.75" bottom="0.75" header="0.3" footer="0.3"/>
  <pageSetup orientation="portrait"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3"/>
  <sheetViews>
    <sheetView workbookViewId="0">
      <selection activeCell="D18" sqref="D18"/>
    </sheetView>
  </sheetViews>
  <sheetFormatPr defaultRowHeight="14.1" x14ac:dyDescent="0.5"/>
  <cols>
    <col min="1" max="1" width="14.9453125" style="156" customWidth="1"/>
    <col min="2" max="2" width="28.41796875" style="157" customWidth="1"/>
    <col min="3" max="3" width="63.3125" style="157" customWidth="1"/>
    <col min="4" max="4" width="93.3125" style="157" customWidth="1"/>
    <col min="5" max="5" width="8.83984375" style="56"/>
    <col min="6" max="6" width="8.47265625" style="56" customWidth="1"/>
    <col min="7" max="16384" width="8.83984375" style="56"/>
  </cols>
  <sheetData>
    <row r="1" spans="1:4" ht="14.4" customHeight="1" x14ac:dyDescent="0.5">
      <c r="A1" s="112" t="s">
        <v>25</v>
      </c>
      <c r="B1" s="113"/>
      <c r="C1" s="113"/>
      <c r="D1" s="114"/>
    </row>
    <row r="2" spans="1:4" x14ac:dyDescent="0.5">
      <c r="A2" s="115" t="s">
        <v>834</v>
      </c>
      <c r="B2" s="116" t="s">
        <v>835</v>
      </c>
      <c r="C2" s="116" t="s">
        <v>187</v>
      </c>
      <c r="D2" s="116" t="s">
        <v>836</v>
      </c>
    </row>
    <row r="3" spans="1:4" x14ac:dyDescent="0.5">
      <c r="A3" s="117" t="s">
        <v>837</v>
      </c>
      <c r="B3" s="118" t="s">
        <v>374</v>
      </c>
      <c r="C3" s="61" t="s">
        <v>838</v>
      </c>
      <c r="D3" s="61" t="s">
        <v>839</v>
      </c>
    </row>
    <row r="4" spans="1:4" x14ac:dyDescent="0.5">
      <c r="A4" s="119"/>
      <c r="B4" s="118" t="s">
        <v>840</v>
      </c>
      <c r="C4" s="61" t="s">
        <v>841</v>
      </c>
      <c r="D4" s="61" t="s">
        <v>842</v>
      </c>
    </row>
    <row r="5" spans="1:4" ht="42.3" x14ac:dyDescent="0.5">
      <c r="A5" s="115" t="s">
        <v>125</v>
      </c>
      <c r="B5" s="118" t="s">
        <v>843</v>
      </c>
      <c r="C5" s="61" t="s">
        <v>844</v>
      </c>
      <c r="D5" s="61" t="s">
        <v>845</v>
      </c>
    </row>
    <row r="7" spans="1:4" x14ac:dyDescent="0.5">
      <c r="A7" s="112" t="s">
        <v>364</v>
      </c>
      <c r="B7" s="113"/>
      <c r="C7" s="113"/>
      <c r="D7" s="114"/>
    </row>
    <row r="8" spans="1:4" x14ac:dyDescent="0.5">
      <c r="A8" s="115" t="s">
        <v>834</v>
      </c>
      <c r="B8" s="116" t="s">
        <v>846</v>
      </c>
      <c r="C8" s="116" t="s">
        <v>847</v>
      </c>
      <c r="D8" s="116" t="s">
        <v>836</v>
      </c>
    </row>
    <row r="9" spans="1:4" ht="50.4" x14ac:dyDescent="0.5">
      <c r="A9" s="120" t="s">
        <v>848</v>
      </c>
      <c r="B9" s="121" t="s">
        <v>381</v>
      </c>
      <c r="C9" s="122" t="s">
        <v>849</v>
      </c>
      <c r="D9" s="123" t="s">
        <v>850</v>
      </c>
    </row>
    <row r="10" spans="1:4" ht="37.799999999999997" x14ac:dyDescent="0.5">
      <c r="A10" s="120"/>
      <c r="B10" s="121" t="s">
        <v>376</v>
      </c>
      <c r="C10" s="122" t="s">
        <v>851</v>
      </c>
      <c r="D10" s="123" t="s">
        <v>852</v>
      </c>
    </row>
    <row r="11" spans="1:4" ht="42.3" x14ac:dyDescent="0.5">
      <c r="A11" s="120"/>
      <c r="B11" s="121" t="s">
        <v>378</v>
      </c>
      <c r="C11" s="122" t="s">
        <v>853</v>
      </c>
      <c r="D11" s="123" t="s">
        <v>852</v>
      </c>
    </row>
    <row r="12" spans="1:4" ht="63" x14ac:dyDescent="0.5">
      <c r="A12" s="120"/>
      <c r="B12" s="121" t="s">
        <v>377</v>
      </c>
      <c r="C12" s="122" t="s">
        <v>854</v>
      </c>
      <c r="D12" s="123" t="s">
        <v>855</v>
      </c>
    </row>
    <row r="13" spans="1:4" ht="42.3" x14ac:dyDescent="0.5">
      <c r="A13" s="120"/>
      <c r="B13" s="121" t="s">
        <v>379</v>
      </c>
      <c r="C13" s="122" t="s">
        <v>856</v>
      </c>
      <c r="D13" s="123" t="s">
        <v>852</v>
      </c>
    </row>
    <row r="14" spans="1:4" ht="37.799999999999997" x14ac:dyDescent="0.5">
      <c r="A14" s="120"/>
      <c r="B14" s="121" t="s">
        <v>426</v>
      </c>
      <c r="C14" s="124" t="s">
        <v>857</v>
      </c>
      <c r="D14" s="123" t="s">
        <v>852</v>
      </c>
    </row>
    <row r="15" spans="1:4" ht="37.799999999999997" x14ac:dyDescent="0.5">
      <c r="A15" s="120"/>
      <c r="B15" s="121" t="s">
        <v>382</v>
      </c>
      <c r="C15" s="124" t="s">
        <v>858</v>
      </c>
      <c r="D15" s="123" t="s">
        <v>852</v>
      </c>
    </row>
    <row r="16" spans="1:4" ht="28.2" x14ac:dyDescent="0.5">
      <c r="A16" s="120"/>
      <c r="B16" s="121" t="s">
        <v>383</v>
      </c>
      <c r="C16" s="122" t="s">
        <v>859</v>
      </c>
      <c r="D16" s="125" t="s">
        <v>454</v>
      </c>
    </row>
    <row r="17" spans="1:4" ht="28.2" x14ac:dyDescent="0.5">
      <c r="A17" s="117" t="s">
        <v>368</v>
      </c>
      <c r="B17" s="118" t="s">
        <v>440</v>
      </c>
      <c r="C17" s="122" t="s">
        <v>860</v>
      </c>
      <c r="D17" s="122" t="s">
        <v>861</v>
      </c>
    </row>
    <row r="18" spans="1:4" ht="28.2" x14ac:dyDescent="0.5">
      <c r="A18" s="120"/>
      <c r="B18" s="118" t="s">
        <v>862</v>
      </c>
      <c r="C18" s="122" t="s">
        <v>863</v>
      </c>
      <c r="D18" s="122" t="s">
        <v>864</v>
      </c>
    </row>
    <row r="19" spans="1:4" ht="28.2" x14ac:dyDescent="0.5">
      <c r="A19" s="120"/>
      <c r="B19" s="118" t="s">
        <v>402</v>
      </c>
      <c r="C19" s="122" t="s">
        <v>865</v>
      </c>
      <c r="D19" s="122" t="s">
        <v>864</v>
      </c>
    </row>
    <row r="20" spans="1:4" ht="28.2" x14ac:dyDescent="0.5">
      <c r="A20" s="120"/>
      <c r="B20" s="118" t="s">
        <v>866</v>
      </c>
      <c r="C20" s="122" t="s">
        <v>867</v>
      </c>
      <c r="D20" s="122" t="s">
        <v>864</v>
      </c>
    </row>
    <row r="21" spans="1:4" ht="28.2" x14ac:dyDescent="0.5">
      <c r="A21" s="120"/>
      <c r="B21" s="118" t="s">
        <v>868</v>
      </c>
      <c r="C21" s="122" t="s">
        <v>869</v>
      </c>
      <c r="D21" s="122" t="s">
        <v>870</v>
      </c>
    </row>
    <row r="22" spans="1:4" ht="28.2" x14ac:dyDescent="0.5">
      <c r="A22" s="120"/>
      <c r="B22" s="118" t="s">
        <v>419</v>
      </c>
      <c r="C22" s="122" t="s">
        <v>871</v>
      </c>
      <c r="D22" s="122" t="s">
        <v>872</v>
      </c>
    </row>
    <row r="23" spans="1:4" x14ac:dyDescent="0.5">
      <c r="A23" s="119"/>
      <c r="B23" s="118" t="s">
        <v>319</v>
      </c>
      <c r="C23" s="122" t="s">
        <v>873</v>
      </c>
      <c r="D23" s="122" t="s">
        <v>874</v>
      </c>
    </row>
    <row r="24" spans="1:4" x14ac:dyDescent="0.5">
      <c r="A24" s="126" t="s">
        <v>369</v>
      </c>
      <c r="B24" s="121" t="s">
        <v>393</v>
      </c>
      <c r="C24" s="122" t="s">
        <v>875</v>
      </c>
      <c r="D24" s="122" t="s">
        <v>876</v>
      </c>
    </row>
    <row r="25" spans="1:4" x14ac:dyDescent="0.5">
      <c r="A25" s="127"/>
      <c r="B25" s="118" t="s">
        <v>877</v>
      </c>
      <c r="C25" s="122" t="s">
        <v>878</v>
      </c>
      <c r="D25" s="128" t="s">
        <v>879</v>
      </c>
    </row>
    <row r="26" spans="1:4" x14ac:dyDescent="0.5">
      <c r="A26" s="127"/>
      <c r="B26" s="118" t="s">
        <v>880</v>
      </c>
      <c r="C26" s="122" t="s">
        <v>881</v>
      </c>
      <c r="D26" s="128" t="s">
        <v>882</v>
      </c>
    </row>
    <row r="27" spans="1:4" ht="28.2" x14ac:dyDescent="0.5">
      <c r="A27" s="127"/>
      <c r="B27" s="118" t="s">
        <v>883</v>
      </c>
      <c r="C27" s="122" t="s">
        <v>884</v>
      </c>
      <c r="D27" s="124" t="s">
        <v>885</v>
      </c>
    </row>
    <row r="28" spans="1:4" x14ac:dyDescent="0.5">
      <c r="A28" s="129"/>
      <c r="B28" s="118" t="s">
        <v>319</v>
      </c>
      <c r="C28" s="122" t="s">
        <v>886</v>
      </c>
      <c r="D28" s="128" t="s">
        <v>887</v>
      </c>
    </row>
    <row r="29" spans="1:4" ht="28.2" x14ac:dyDescent="0.5">
      <c r="A29" s="115" t="s">
        <v>370</v>
      </c>
      <c r="B29" s="118" t="s">
        <v>888</v>
      </c>
      <c r="C29" s="122" t="s">
        <v>889</v>
      </c>
      <c r="D29" s="122" t="s">
        <v>890</v>
      </c>
    </row>
    <row r="30" spans="1:4" ht="28.2" x14ac:dyDescent="0.5">
      <c r="A30" s="126" t="s">
        <v>371</v>
      </c>
      <c r="B30" s="121" t="s">
        <v>394</v>
      </c>
      <c r="C30" s="122" t="s">
        <v>891</v>
      </c>
      <c r="D30" s="122" t="s">
        <v>892</v>
      </c>
    </row>
    <row r="31" spans="1:4" ht="28.2" x14ac:dyDescent="0.5">
      <c r="A31" s="127"/>
      <c r="B31" s="118" t="s">
        <v>401</v>
      </c>
      <c r="C31" s="122" t="s">
        <v>893</v>
      </c>
      <c r="D31" s="122" t="s">
        <v>894</v>
      </c>
    </row>
    <row r="32" spans="1:4" ht="28.2" x14ac:dyDescent="0.5">
      <c r="A32" s="127"/>
      <c r="B32" s="118" t="s">
        <v>429</v>
      </c>
      <c r="C32" s="122" t="s">
        <v>895</v>
      </c>
      <c r="D32" s="122" t="s">
        <v>896</v>
      </c>
    </row>
    <row r="33" spans="1:4" ht="28.2" x14ac:dyDescent="0.5">
      <c r="A33" s="127"/>
      <c r="B33" s="118" t="s">
        <v>403</v>
      </c>
      <c r="C33" s="122" t="s">
        <v>897</v>
      </c>
      <c r="D33" s="122" t="s">
        <v>898</v>
      </c>
    </row>
    <row r="34" spans="1:4" ht="28.2" x14ac:dyDescent="0.5">
      <c r="A34" s="127"/>
      <c r="B34" s="118" t="s">
        <v>899</v>
      </c>
      <c r="C34" s="122" t="s">
        <v>900</v>
      </c>
      <c r="D34" s="122" t="s">
        <v>901</v>
      </c>
    </row>
    <row r="35" spans="1:4" ht="28.2" x14ac:dyDescent="0.5">
      <c r="A35" s="127"/>
      <c r="B35" s="118" t="s">
        <v>421</v>
      </c>
      <c r="C35" s="122" t="s">
        <v>902</v>
      </c>
      <c r="D35" s="122" t="s">
        <v>903</v>
      </c>
    </row>
    <row r="36" spans="1:4" ht="28.2" x14ac:dyDescent="0.5">
      <c r="A36" s="127"/>
      <c r="B36" s="118" t="s">
        <v>904</v>
      </c>
      <c r="C36" s="122" t="s">
        <v>905</v>
      </c>
      <c r="D36" s="122" t="s">
        <v>906</v>
      </c>
    </row>
    <row r="37" spans="1:4" ht="28.2" x14ac:dyDescent="0.5">
      <c r="A37" s="127"/>
      <c r="B37" s="130" t="s">
        <v>383</v>
      </c>
      <c r="C37" s="124" t="s">
        <v>454</v>
      </c>
      <c r="D37" s="124" t="s">
        <v>907</v>
      </c>
    </row>
    <row r="38" spans="1:4" ht="28.2" x14ac:dyDescent="0.5">
      <c r="A38" s="129"/>
      <c r="B38" s="130" t="s">
        <v>319</v>
      </c>
      <c r="C38" s="124" t="s">
        <v>908</v>
      </c>
      <c r="D38" s="124" t="s">
        <v>909</v>
      </c>
    </row>
    <row r="39" spans="1:4" ht="70.5" x14ac:dyDescent="0.5">
      <c r="A39" s="115" t="s">
        <v>910</v>
      </c>
      <c r="B39" s="118" t="s">
        <v>911</v>
      </c>
      <c r="C39" s="122" t="s">
        <v>912</v>
      </c>
      <c r="D39" s="122" t="s">
        <v>388</v>
      </c>
    </row>
    <row r="40" spans="1:4" ht="42.3" x14ac:dyDescent="0.5">
      <c r="A40" s="115" t="s">
        <v>913</v>
      </c>
      <c r="B40" s="131" t="s">
        <v>914</v>
      </c>
      <c r="C40" s="122" t="s">
        <v>915</v>
      </c>
      <c r="D40" s="132" t="s">
        <v>916</v>
      </c>
    </row>
    <row r="42" spans="1:4" ht="14.1" customHeight="1" x14ac:dyDescent="0.5">
      <c r="A42" s="112" t="s">
        <v>917</v>
      </c>
      <c r="B42" s="113"/>
      <c r="C42" s="113"/>
      <c r="D42" s="114"/>
    </row>
    <row r="43" spans="1:4" x14ac:dyDescent="0.5">
      <c r="A43" s="115" t="s">
        <v>834</v>
      </c>
      <c r="B43" s="116" t="s">
        <v>918</v>
      </c>
      <c r="C43" s="116" t="s">
        <v>847</v>
      </c>
      <c r="D43" s="116" t="s">
        <v>836</v>
      </c>
    </row>
    <row r="44" spans="1:4" ht="56.4" x14ac:dyDescent="0.5">
      <c r="A44" s="115" t="s">
        <v>919</v>
      </c>
      <c r="B44" s="131" t="s">
        <v>920</v>
      </c>
      <c r="C44" s="61" t="s">
        <v>921</v>
      </c>
      <c r="D44" s="133" t="s">
        <v>922</v>
      </c>
    </row>
    <row r="45" spans="1:4" ht="56.4" x14ac:dyDescent="0.5">
      <c r="A45" s="134" t="s">
        <v>832</v>
      </c>
      <c r="B45" s="115" t="s">
        <v>2</v>
      </c>
      <c r="C45" s="61" t="s">
        <v>923</v>
      </c>
      <c r="D45" s="133" t="s">
        <v>924</v>
      </c>
    </row>
    <row r="46" spans="1:4" ht="56.4" x14ac:dyDescent="0.5">
      <c r="A46" s="134"/>
      <c r="B46" s="115" t="s">
        <v>766</v>
      </c>
      <c r="C46" s="61" t="s">
        <v>925</v>
      </c>
      <c r="D46" s="133" t="s">
        <v>926</v>
      </c>
    </row>
    <row r="47" spans="1:4" ht="42.3" x14ac:dyDescent="0.5">
      <c r="A47" s="134"/>
      <c r="B47" s="115" t="s">
        <v>768</v>
      </c>
      <c r="C47" s="61" t="s">
        <v>927</v>
      </c>
      <c r="D47" s="133" t="s">
        <v>928</v>
      </c>
    </row>
    <row r="48" spans="1:4" ht="56.4" x14ac:dyDescent="0.5">
      <c r="A48" s="134"/>
      <c r="B48" s="115" t="s">
        <v>929</v>
      </c>
      <c r="C48" s="61" t="s">
        <v>930</v>
      </c>
      <c r="D48" s="133" t="s">
        <v>931</v>
      </c>
    </row>
    <row r="49" spans="1:4" ht="56.4" x14ac:dyDescent="0.5">
      <c r="A49" s="135"/>
      <c r="B49" s="115" t="s">
        <v>932</v>
      </c>
      <c r="C49" s="61" t="s">
        <v>933</v>
      </c>
      <c r="D49" s="133" t="s">
        <v>934</v>
      </c>
    </row>
    <row r="50" spans="1:4" ht="42.3" x14ac:dyDescent="0.5">
      <c r="A50" s="115" t="s">
        <v>935</v>
      </c>
      <c r="B50" s="118" t="s">
        <v>936</v>
      </c>
      <c r="C50" s="61" t="s">
        <v>937</v>
      </c>
      <c r="D50" s="61" t="s">
        <v>938</v>
      </c>
    </row>
    <row r="51" spans="1:4" ht="28.2" x14ac:dyDescent="0.5">
      <c r="A51" s="136" t="s">
        <v>833</v>
      </c>
      <c r="B51" s="137" t="s">
        <v>10</v>
      </c>
      <c r="C51" s="61" t="s">
        <v>939</v>
      </c>
      <c r="D51" s="31" t="s">
        <v>457</v>
      </c>
    </row>
    <row r="52" spans="1:4" x14ac:dyDescent="0.5">
      <c r="A52" s="138"/>
      <c r="B52" s="137" t="s">
        <v>11</v>
      </c>
      <c r="C52" s="61" t="s">
        <v>458</v>
      </c>
      <c r="D52" s="61" t="s">
        <v>940</v>
      </c>
    </row>
    <row r="53" spans="1:4" x14ac:dyDescent="0.5">
      <c r="A53" s="139" t="s">
        <v>446</v>
      </c>
      <c r="B53" s="137" t="s">
        <v>450</v>
      </c>
      <c r="C53" s="61" t="s">
        <v>941</v>
      </c>
      <c r="D53" s="31" t="s">
        <v>459</v>
      </c>
    </row>
    <row r="54" spans="1:4" x14ac:dyDescent="0.5">
      <c r="A54" s="134"/>
      <c r="B54" s="137" t="s">
        <v>450</v>
      </c>
      <c r="C54" s="61" t="s">
        <v>458</v>
      </c>
      <c r="D54" s="61" t="s">
        <v>942</v>
      </c>
    </row>
    <row r="55" spans="1:4" x14ac:dyDescent="0.5">
      <c r="A55" s="134"/>
      <c r="B55" s="137" t="s">
        <v>451</v>
      </c>
      <c r="C55" s="61" t="s">
        <v>941</v>
      </c>
      <c r="D55" s="31" t="s">
        <v>459</v>
      </c>
    </row>
    <row r="56" spans="1:4" x14ac:dyDescent="0.5">
      <c r="A56" s="135"/>
      <c r="B56" s="137" t="s">
        <v>451</v>
      </c>
      <c r="C56" s="61" t="s">
        <v>458</v>
      </c>
      <c r="D56" s="61" t="s">
        <v>942</v>
      </c>
    </row>
    <row r="57" spans="1:4" ht="84.6" customHeight="1" x14ac:dyDescent="0.5">
      <c r="A57" s="139" t="s">
        <v>447</v>
      </c>
      <c r="B57" s="137" t="s">
        <v>14</v>
      </c>
      <c r="C57" s="61" t="s">
        <v>943</v>
      </c>
      <c r="D57" s="61" t="s">
        <v>944</v>
      </c>
    </row>
    <row r="58" spans="1:4" x14ac:dyDescent="0.5">
      <c r="A58" s="134"/>
      <c r="B58" s="137" t="s">
        <v>15</v>
      </c>
      <c r="C58" s="61" t="s">
        <v>945</v>
      </c>
      <c r="D58" s="61" t="s">
        <v>454</v>
      </c>
    </row>
    <row r="59" spans="1:4" ht="28.2" x14ac:dyDescent="0.5">
      <c r="A59" s="135"/>
      <c r="B59" s="137" t="s">
        <v>16</v>
      </c>
      <c r="C59" s="61" t="s">
        <v>946</v>
      </c>
      <c r="D59" s="133" t="s">
        <v>947</v>
      </c>
    </row>
    <row r="60" spans="1:4" ht="28.2" x14ac:dyDescent="0.5">
      <c r="A60" s="139" t="s">
        <v>448</v>
      </c>
      <c r="B60" s="137" t="s">
        <v>452</v>
      </c>
      <c r="C60" s="61" t="s">
        <v>948</v>
      </c>
      <c r="D60" s="61" t="s">
        <v>949</v>
      </c>
    </row>
    <row r="61" spans="1:4" ht="28.2" x14ac:dyDescent="0.5">
      <c r="A61" s="135"/>
      <c r="B61" s="137" t="s">
        <v>453</v>
      </c>
      <c r="C61" s="61" t="s">
        <v>950</v>
      </c>
      <c r="D61" s="61" t="s">
        <v>951</v>
      </c>
    </row>
    <row r="62" spans="1:4" s="142" customFormat="1" x14ac:dyDescent="0.5">
      <c r="A62" s="140"/>
      <c r="B62" s="141"/>
      <c r="C62" s="141"/>
      <c r="D62" s="141"/>
    </row>
    <row r="63" spans="1:4" ht="14.1" customHeight="1" x14ac:dyDescent="0.5">
      <c r="A63" s="112" t="s">
        <v>952</v>
      </c>
      <c r="B63" s="113"/>
      <c r="C63" s="113"/>
      <c r="D63" s="114"/>
    </row>
    <row r="64" spans="1:4" ht="14.4" x14ac:dyDescent="0.5">
      <c r="A64" s="112" t="s">
        <v>953</v>
      </c>
      <c r="B64" s="114"/>
      <c r="C64" s="143" t="s">
        <v>954</v>
      </c>
      <c r="D64" s="144"/>
    </row>
    <row r="65" spans="1:4" ht="14.1" customHeight="1" x14ac:dyDescent="0.5">
      <c r="A65" s="145" t="s">
        <v>736</v>
      </c>
      <c r="B65" s="146"/>
      <c r="C65" s="147" t="s">
        <v>955</v>
      </c>
      <c r="D65" s="148"/>
    </row>
    <row r="66" spans="1:4" ht="14.1" customHeight="1" x14ac:dyDescent="0.5">
      <c r="A66" s="145" t="s">
        <v>500</v>
      </c>
      <c r="B66" s="146"/>
      <c r="C66" s="147" t="s">
        <v>956</v>
      </c>
      <c r="D66" s="148"/>
    </row>
    <row r="67" spans="1:4" ht="14.1" customHeight="1" x14ac:dyDescent="0.5">
      <c r="A67" s="145" t="s">
        <v>741</v>
      </c>
      <c r="B67" s="146"/>
      <c r="C67" s="147" t="s">
        <v>957</v>
      </c>
      <c r="D67" s="148"/>
    </row>
    <row r="68" spans="1:4" ht="14.1" customHeight="1" x14ac:dyDescent="0.5">
      <c r="A68" s="145" t="s">
        <v>743</v>
      </c>
      <c r="B68" s="146"/>
      <c r="C68" s="147" t="s">
        <v>958</v>
      </c>
      <c r="D68" s="148"/>
    </row>
    <row r="69" spans="1:4" ht="14.1" customHeight="1" x14ac:dyDescent="0.5">
      <c r="A69" s="145" t="s">
        <v>746</v>
      </c>
      <c r="B69" s="146"/>
      <c r="C69" s="147" t="s">
        <v>959</v>
      </c>
      <c r="D69" s="148"/>
    </row>
    <row r="70" spans="1:4" x14ac:dyDescent="0.5">
      <c r="A70" s="145" t="s">
        <v>748</v>
      </c>
      <c r="B70" s="146"/>
      <c r="C70" s="147" t="s">
        <v>960</v>
      </c>
      <c r="D70" s="148"/>
    </row>
    <row r="71" spans="1:4" ht="14.1" customHeight="1" x14ac:dyDescent="0.5">
      <c r="A71" s="145" t="s">
        <v>750</v>
      </c>
      <c r="B71" s="146"/>
      <c r="C71" s="147" t="s">
        <v>961</v>
      </c>
      <c r="D71" s="148"/>
    </row>
    <row r="72" spans="1:4" ht="14.1" customHeight="1" x14ac:dyDescent="0.5">
      <c r="A72" s="145" t="s">
        <v>962</v>
      </c>
      <c r="B72" s="146"/>
      <c r="C72" s="147" t="s">
        <v>963</v>
      </c>
      <c r="D72" s="148"/>
    </row>
    <row r="73" spans="1:4" ht="14.1" customHeight="1" x14ac:dyDescent="0.5">
      <c r="A73" s="145" t="s">
        <v>752</v>
      </c>
      <c r="B73" s="146"/>
      <c r="C73" s="147" t="s">
        <v>964</v>
      </c>
      <c r="D73" s="148"/>
    </row>
    <row r="74" spans="1:4" ht="14.1" customHeight="1" x14ac:dyDescent="0.5">
      <c r="A74" s="145" t="s">
        <v>965</v>
      </c>
      <c r="B74" s="146"/>
      <c r="C74" s="147" t="s">
        <v>966</v>
      </c>
      <c r="D74" s="148"/>
    </row>
    <row r="75" spans="1:4" ht="14.1" customHeight="1" x14ac:dyDescent="0.5">
      <c r="A75" s="145" t="s">
        <v>967</v>
      </c>
      <c r="B75" s="146"/>
      <c r="C75" s="147" t="s">
        <v>968</v>
      </c>
      <c r="D75" s="148"/>
    </row>
    <row r="76" spans="1:4" ht="14.1" customHeight="1" x14ac:dyDescent="0.5">
      <c r="A76" s="145" t="s">
        <v>754</v>
      </c>
      <c r="B76" s="146"/>
      <c r="C76" s="147" t="s">
        <v>969</v>
      </c>
      <c r="D76" s="148"/>
    </row>
    <row r="77" spans="1:4" ht="14.1" customHeight="1" x14ac:dyDescent="0.5">
      <c r="A77" s="145" t="s">
        <v>756</v>
      </c>
      <c r="B77" s="146"/>
      <c r="C77" s="147" t="s">
        <v>970</v>
      </c>
      <c r="D77" s="148"/>
    </row>
    <row r="78" spans="1:4" ht="14.1" customHeight="1" x14ac:dyDescent="0.5">
      <c r="A78" s="145" t="s">
        <v>971</v>
      </c>
      <c r="B78" s="146"/>
      <c r="C78" s="147" t="s">
        <v>972</v>
      </c>
      <c r="D78" s="148"/>
    </row>
    <row r="81" spans="1:13" ht="14.1" customHeight="1" x14ac:dyDescent="0.5">
      <c r="A81" s="112" t="s">
        <v>973</v>
      </c>
      <c r="B81" s="113"/>
      <c r="C81" s="113"/>
      <c r="D81" s="114"/>
    </row>
    <row r="82" spans="1:13" x14ac:dyDescent="0.5">
      <c r="A82" s="115" t="s">
        <v>834</v>
      </c>
      <c r="B82" s="116" t="s">
        <v>918</v>
      </c>
      <c r="C82" s="116" t="s">
        <v>847</v>
      </c>
      <c r="D82" s="116" t="s">
        <v>836</v>
      </c>
    </row>
    <row r="83" spans="1:13" ht="14.1" customHeight="1" x14ac:dyDescent="0.5">
      <c r="A83" s="112" t="s">
        <v>650</v>
      </c>
      <c r="B83" s="113"/>
      <c r="C83" s="113"/>
      <c r="D83" s="113"/>
    </row>
    <row r="84" spans="1:13" ht="28.2" customHeight="1" x14ac:dyDescent="0.5">
      <c r="A84" s="149" t="s">
        <v>974</v>
      </c>
      <c r="B84" s="150"/>
      <c r="C84" s="61" t="s">
        <v>975</v>
      </c>
      <c r="D84" s="61" t="s">
        <v>976</v>
      </c>
    </row>
    <row r="85" spans="1:13" ht="28.2" x14ac:dyDescent="0.5">
      <c r="A85" s="115" t="s">
        <v>977</v>
      </c>
      <c r="B85" s="131" t="s">
        <v>978</v>
      </c>
      <c r="C85" s="61" t="s">
        <v>979</v>
      </c>
      <c r="D85" s="61" t="s">
        <v>980</v>
      </c>
    </row>
    <row r="86" spans="1:13" ht="28.2" x14ac:dyDescent="0.5">
      <c r="A86" s="115" t="s">
        <v>663</v>
      </c>
      <c r="B86" s="131" t="s">
        <v>978</v>
      </c>
      <c r="C86" s="61" t="s">
        <v>981</v>
      </c>
      <c r="D86" s="61" t="s">
        <v>982</v>
      </c>
    </row>
    <row r="87" spans="1:13" ht="28.2" x14ac:dyDescent="0.5">
      <c r="A87" s="115" t="s">
        <v>983</v>
      </c>
      <c r="B87" s="131" t="s">
        <v>978</v>
      </c>
      <c r="C87" s="61" t="s">
        <v>984</v>
      </c>
      <c r="D87" s="61" t="s">
        <v>985</v>
      </c>
    </row>
    <row r="88" spans="1:13" ht="28.2" x14ac:dyDescent="0.5">
      <c r="A88" s="115" t="s">
        <v>810</v>
      </c>
      <c r="B88" s="131" t="s">
        <v>978</v>
      </c>
      <c r="C88" s="61" t="s">
        <v>986</v>
      </c>
      <c r="D88" s="61" t="s">
        <v>987</v>
      </c>
    </row>
    <row r="89" spans="1:13" ht="28.2" x14ac:dyDescent="0.5">
      <c r="A89" s="115" t="s">
        <v>792</v>
      </c>
      <c r="B89" s="131" t="s">
        <v>978</v>
      </c>
      <c r="C89" s="61" t="s">
        <v>988</v>
      </c>
      <c r="D89" s="61" t="s">
        <v>989</v>
      </c>
    </row>
    <row r="90" spans="1:13" x14ac:dyDescent="0.5">
      <c r="A90" s="115" t="s">
        <v>990</v>
      </c>
      <c r="B90" s="131" t="s">
        <v>978</v>
      </c>
      <c r="C90" s="61" t="s">
        <v>991</v>
      </c>
      <c r="D90" s="61" t="s">
        <v>992</v>
      </c>
    </row>
    <row r="91" spans="1:13" x14ac:dyDescent="0.5">
      <c r="A91" s="151" t="s">
        <v>383</v>
      </c>
      <c r="B91" s="130" t="s">
        <v>993</v>
      </c>
      <c r="C91" s="64"/>
      <c r="D91" s="64"/>
    </row>
    <row r="92" spans="1:13" x14ac:dyDescent="0.5">
      <c r="A92" s="115" t="s">
        <v>319</v>
      </c>
      <c r="B92" s="131" t="s">
        <v>461</v>
      </c>
      <c r="C92" s="61" t="s">
        <v>994</v>
      </c>
      <c r="D92" s="61" t="s">
        <v>995</v>
      </c>
      <c r="F92" s="152"/>
      <c r="G92" s="152"/>
      <c r="H92" s="152"/>
      <c r="I92" s="152"/>
      <c r="J92" s="152"/>
      <c r="K92" s="152"/>
      <c r="L92" s="152"/>
      <c r="M92" s="152"/>
    </row>
    <row r="93" spans="1:13" x14ac:dyDescent="0.5">
      <c r="A93" s="113" t="s">
        <v>651</v>
      </c>
      <c r="B93" s="113"/>
      <c r="C93" s="113"/>
      <c r="D93" s="114"/>
      <c r="F93" s="152"/>
      <c r="G93" s="152"/>
      <c r="H93" s="152"/>
      <c r="I93" s="152"/>
      <c r="J93" s="152"/>
      <c r="K93" s="152"/>
      <c r="L93" s="152"/>
      <c r="M93" s="152"/>
    </row>
    <row r="94" spans="1:13" ht="38.1" customHeight="1" x14ac:dyDescent="0.5">
      <c r="A94" s="153" t="s">
        <v>996</v>
      </c>
      <c r="B94" s="150"/>
      <c r="C94" s="61" t="s">
        <v>997</v>
      </c>
      <c r="D94" s="61" t="s">
        <v>998</v>
      </c>
    </row>
    <row r="95" spans="1:13" x14ac:dyDescent="0.5">
      <c r="A95" s="115" t="s">
        <v>999</v>
      </c>
      <c r="B95" s="131" t="s">
        <v>978</v>
      </c>
      <c r="C95" s="61" t="s">
        <v>1000</v>
      </c>
      <c r="D95" s="61" t="s">
        <v>1001</v>
      </c>
    </row>
    <row r="96" spans="1:13" ht="42.3" x14ac:dyDescent="0.5">
      <c r="A96" s="115" t="s">
        <v>1002</v>
      </c>
      <c r="B96" s="131" t="s">
        <v>978</v>
      </c>
      <c r="C96" s="61" t="s">
        <v>1003</v>
      </c>
      <c r="D96" s="61" t="s">
        <v>1004</v>
      </c>
    </row>
    <row r="97" spans="1:17" ht="28.2" x14ac:dyDescent="0.5">
      <c r="A97" s="115" t="s">
        <v>670</v>
      </c>
      <c r="B97" s="131" t="s">
        <v>978</v>
      </c>
      <c r="C97" s="61" t="s">
        <v>1005</v>
      </c>
      <c r="D97" s="61" t="s">
        <v>1006</v>
      </c>
    </row>
    <row r="98" spans="1:17" ht="28.2" x14ac:dyDescent="0.5">
      <c r="A98" s="115" t="s">
        <v>403</v>
      </c>
      <c r="B98" s="131" t="s">
        <v>978</v>
      </c>
      <c r="C98" s="61" t="s">
        <v>1007</v>
      </c>
      <c r="D98" s="61" t="s">
        <v>1008</v>
      </c>
    </row>
    <row r="99" spans="1:17" ht="28.2" x14ac:dyDescent="0.5">
      <c r="A99" s="115" t="s">
        <v>672</v>
      </c>
      <c r="B99" s="131" t="s">
        <v>978</v>
      </c>
      <c r="C99" s="61" t="s">
        <v>1009</v>
      </c>
      <c r="D99" s="61" t="s">
        <v>1010</v>
      </c>
    </row>
    <row r="100" spans="1:17" ht="28.2" x14ac:dyDescent="0.5">
      <c r="A100" s="115" t="s">
        <v>792</v>
      </c>
      <c r="B100" s="131" t="s">
        <v>978</v>
      </c>
      <c r="C100" s="61" t="s">
        <v>1011</v>
      </c>
      <c r="D100" s="61" t="s">
        <v>1012</v>
      </c>
    </row>
    <row r="101" spans="1:17" x14ac:dyDescent="0.5">
      <c r="A101" s="115" t="s">
        <v>1013</v>
      </c>
      <c r="B101" s="131" t="s">
        <v>978</v>
      </c>
      <c r="C101" s="61" t="s">
        <v>1014</v>
      </c>
      <c r="D101" s="61" t="s">
        <v>1015</v>
      </c>
    </row>
    <row r="102" spans="1:17" s="152" customFormat="1" ht="17.100000000000001" customHeight="1" x14ac:dyDescent="0.5">
      <c r="A102" s="151" t="s">
        <v>674</v>
      </c>
      <c r="B102" s="131" t="s">
        <v>978</v>
      </c>
      <c r="C102" s="64" t="s">
        <v>1016</v>
      </c>
      <c r="D102" s="64" t="s">
        <v>1017</v>
      </c>
    </row>
    <row r="103" spans="1:17" x14ac:dyDescent="0.5">
      <c r="A103" s="115" t="s">
        <v>383</v>
      </c>
      <c r="B103" s="131" t="s">
        <v>993</v>
      </c>
      <c r="C103" s="61" t="s">
        <v>1018</v>
      </c>
      <c r="D103" s="61" t="s">
        <v>1019</v>
      </c>
    </row>
    <row r="104" spans="1:17" x14ac:dyDescent="0.5">
      <c r="A104" s="115" t="s">
        <v>319</v>
      </c>
      <c r="B104" s="131" t="s">
        <v>1020</v>
      </c>
      <c r="C104" s="61" t="s">
        <v>1021</v>
      </c>
      <c r="D104" s="61" t="s">
        <v>1022</v>
      </c>
    </row>
    <row r="105" spans="1:17" x14ac:dyDescent="0.5">
      <c r="A105" s="112" t="s">
        <v>652</v>
      </c>
      <c r="B105" s="113"/>
      <c r="C105" s="113"/>
      <c r="D105" s="114"/>
    </row>
    <row r="106" spans="1:17" ht="28.2" customHeight="1" x14ac:dyDescent="0.5">
      <c r="A106" s="149" t="s">
        <v>1023</v>
      </c>
      <c r="B106" s="150"/>
      <c r="C106" s="61" t="s">
        <v>1024</v>
      </c>
      <c r="D106" s="61" t="s">
        <v>1025</v>
      </c>
    </row>
    <row r="107" spans="1:17" ht="28.2" customHeight="1" x14ac:dyDescent="0.5">
      <c r="A107" s="121" t="s">
        <v>1026</v>
      </c>
      <c r="B107" s="131" t="s">
        <v>978</v>
      </c>
      <c r="C107" s="61" t="s">
        <v>1027</v>
      </c>
      <c r="D107" s="61" t="s">
        <v>1028</v>
      </c>
    </row>
    <row r="108" spans="1:17" ht="28.2" customHeight="1" x14ac:dyDescent="0.5">
      <c r="A108" s="121" t="s">
        <v>1029</v>
      </c>
      <c r="B108" s="131" t="s">
        <v>978</v>
      </c>
      <c r="C108" s="61" t="s">
        <v>1030</v>
      </c>
      <c r="D108" s="61" t="s">
        <v>1031</v>
      </c>
    </row>
    <row r="109" spans="1:17" ht="28.2" x14ac:dyDescent="0.5">
      <c r="A109" s="115" t="s">
        <v>793</v>
      </c>
      <c r="B109" s="131" t="s">
        <v>978</v>
      </c>
      <c r="C109" s="61" t="s">
        <v>1032</v>
      </c>
      <c r="D109" s="61" t="s">
        <v>1033</v>
      </c>
    </row>
    <row r="110" spans="1:17" ht="28.2" x14ac:dyDescent="0.5">
      <c r="A110" s="154" t="s">
        <v>678</v>
      </c>
      <c r="B110" s="131" t="s">
        <v>978</v>
      </c>
      <c r="C110" s="155" t="s">
        <v>1034</v>
      </c>
      <c r="D110" s="155" t="s">
        <v>1035</v>
      </c>
    </row>
    <row r="111" spans="1:17" s="152" customFormat="1" ht="28.2" x14ac:dyDescent="0.5">
      <c r="A111" s="115" t="s">
        <v>679</v>
      </c>
      <c r="B111" s="131" t="s">
        <v>978</v>
      </c>
      <c r="C111" s="61" t="s">
        <v>1036</v>
      </c>
      <c r="D111" s="61" t="s">
        <v>1037</v>
      </c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</row>
    <row r="112" spans="1:17" s="152" customFormat="1" x14ac:dyDescent="0.5">
      <c r="A112" s="115" t="s">
        <v>383</v>
      </c>
      <c r="B112" s="131" t="s">
        <v>993</v>
      </c>
      <c r="C112" s="61" t="s">
        <v>1038</v>
      </c>
      <c r="D112" s="61" t="s">
        <v>1039</v>
      </c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</row>
    <row r="113" spans="1:17" s="152" customFormat="1" x14ac:dyDescent="0.5">
      <c r="A113" s="115" t="s">
        <v>319</v>
      </c>
      <c r="B113" s="131" t="s">
        <v>1020</v>
      </c>
      <c r="C113" s="61" t="s">
        <v>1040</v>
      </c>
      <c r="D113" s="61" t="s">
        <v>1041</v>
      </c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</row>
    <row r="114" spans="1:17" s="152" customFormat="1" ht="56.4" x14ac:dyDescent="0.5">
      <c r="A114" s="115" t="s">
        <v>1042</v>
      </c>
      <c r="B114" s="131" t="s">
        <v>1043</v>
      </c>
      <c r="C114" s="61" t="s">
        <v>1044</v>
      </c>
      <c r="D114" s="133" t="s">
        <v>1045</v>
      </c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</row>
    <row r="116" spans="1:17" ht="14.1" customHeight="1" x14ac:dyDescent="0.5">
      <c r="A116" s="112" t="s">
        <v>1046</v>
      </c>
      <c r="B116" s="113"/>
      <c r="C116" s="113"/>
      <c r="D116" s="114"/>
    </row>
    <row r="117" spans="1:17" x14ac:dyDescent="0.5">
      <c r="A117" s="115" t="s">
        <v>834</v>
      </c>
      <c r="B117" s="116" t="s">
        <v>918</v>
      </c>
      <c r="C117" s="116" t="s">
        <v>847</v>
      </c>
      <c r="D117" s="116" t="s">
        <v>836</v>
      </c>
    </row>
    <row r="118" spans="1:17" x14ac:dyDescent="0.5">
      <c r="A118" s="112" t="s">
        <v>1047</v>
      </c>
      <c r="B118" s="113"/>
      <c r="C118" s="113"/>
      <c r="D118" s="114"/>
    </row>
    <row r="119" spans="1:17" ht="14.1" customHeight="1" x14ac:dyDescent="0.5">
      <c r="A119" s="149" t="s">
        <v>1048</v>
      </c>
      <c r="B119" s="150"/>
      <c r="C119" s="61" t="s">
        <v>1049</v>
      </c>
      <c r="D119" s="61" t="s">
        <v>1050</v>
      </c>
    </row>
    <row r="120" spans="1:17" x14ac:dyDescent="0.5">
      <c r="A120" s="115" t="s">
        <v>805</v>
      </c>
      <c r="B120" s="131" t="s">
        <v>978</v>
      </c>
      <c r="C120" s="61" t="s">
        <v>1051</v>
      </c>
      <c r="D120" s="61" t="s">
        <v>1052</v>
      </c>
    </row>
    <row r="121" spans="1:17" ht="27.3" customHeight="1" x14ac:dyDescent="0.5">
      <c r="A121" s="115" t="s">
        <v>1053</v>
      </c>
      <c r="B121" s="131" t="s">
        <v>978</v>
      </c>
      <c r="C121" s="61" t="s">
        <v>1054</v>
      </c>
      <c r="D121" s="61" t="s">
        <v>1055</v>
      </c>
    </row>
    <row r="122" spans="1:17" ht="28.2" x14ac:dyDescent="0.5">
      <c r="A122" s="115" t="s">
        <v>1056</v>
      </c>
      <c r="B122" s="131" t="s">
        <v>978</v>
      </c>
      <c r="C122" s="61" t="s">
        <v>1057</v>
      </c>
      <c r="D122" s="61" t="s">
        <v>1058</v>
      </c>
    </row>
    <row r="123" spans="1:17" ht="28.2" x14ac:dyDescent="0.5">
      <c r="A123" s="115" t="s">
        <v>810</v>
      </c>
      <c r="B123" s="131" t="s">
        <v>978</v>
      </c>
      <c r="C123" s="61" t="s">
        <v>1059</v>
      </c>
      <c r="D123" s="61" t="s">
        <v>1060</v>
      </c>
    </row>
    <row r="124" spans="1:17" ht="28.2" x14ac:dyDescent="0.5">
      <c r="A124" s="115" t="s">
        <v>1061</v>
      </c>
      <c r="B124" s="131" t="s">
        <v>978</v>
      </c>
      <c r="C124" s="61" t="s">
        <v>1062</v>
      </c>
      <c r="D124" s="61" t="s">
        <v>1063</v>
      </c>
    </row>
    <row r="125" spans="1:17" x14ac:dyDescent="0.5">
      <c r="A125" s="115" t="s">
        <v>383</v>
      </c>
      <c r="B125" s="131" t="s">
        <v>993</v>
      </c>
      <c r="C125" s="61" t="s">
        <v>1064</v>
      </c>
      <c r="D125" s="61" t="s">
        <v>1065</v>
      </c>
    </row>
    <row r="126" spans="1:17" ht="28.2" x14ac:dyDescent="0.5">
      <c r="A126" s="115" t="s">
        <v>319</v>
      </c>
      <c r="B126" s="131" t="s">
        <v>461</v>
      </c>
      <c r="C126" s="61" t="s">
        <v>1066</v>
      </c>
      <c r="D126" s="61" t="s">
        <v>1067</v>
      </c>
    </row>
    <row r="127" spans="1:17" ht="56.4" x14ac:dyDescent="0.5">
      <c r="A127" s="139" t="s">
        <v>1068</v>
      </c>
      <c r="B127" s="121" t="s">
        <v>655</v>
      </c>
      <c r="C127" s="61" t="s">
        <v>1069</v>
      </c>
      <c r="D127" s="133" t="s">
        <v>1070</v>
      </c>
    </row>
    <row r="128" spans="1:17" ht="56.4" x14ac:dyDescent="0.5">
      <c r="A128" s="134"/>
      <c r="B128" s="121" t="s">
        <v>656</v>
      </c>
      <c r="C128" s="61" t="s">
        <v>1071</v>
      </c>
      <c r="D128" s="133" t="s">
        <v>1072</v>
      </c>
      <c r="G128" s="57"/>
      <c r="H128" s="152"/>
      <c r="I128" s="152"/>
      <c r="J128" s="152"/>
      <c r="K128" s="152"/>
      <c r="L128" s="152"/>
      <c r="M128" s="152"/>
      <c r="N128" s="152"/>
    </row>
    <row r="129" spans="1:14" ht="56.4" x14ac:dyDescent="0.5">
      <c r="A129" s="139" t="s">
        <v>648</v>
      </c>
      <c r="B129" s="121" t="s">
        <v>657</v>
      </c>
      <c r="C129" s="61" t="s">
        <v>1073</v>
      </c>
      <c r="D129" s="133" t="s">
        <v>1074</v>
      </c>
      <c r="G129" s="57"/>
      <c r="H129" s="152"/>
      <c r="I129" s="152"/>
      <c r="J129" s="152"/>
      <c r="K129" s="152"/>
      <c r="L129" s="152"/>
      <c r="M129" s="152"/>
      <c r="N129" s="152"/>
    </row>
    <row r="130" spans="1:14" ht="42.3" x14ac:dyDescent="0.5">
      <c r="A130" s="134"/>
      <c r="B130" s="121" t="s">
        <v>658</v>
      </c>
      <c r="C130" s="61" t="s">
        <v>1075</v>
      </c>
      <c r="D130" s="133" t="s">
        <v>1076</v>
      </c>
      <c r="F130" s="152"/>
    </row>
    <row r="131" spans="1:14" ht="42.3" x14ac:dyDescent="0.5">
      <c r="A131" s="134"/>
      <c r="B131" s="121" t="s">
        <v>659</v>
      </c>
      <c r="C131" s="61" t="s">
        <v>1077</v>
      </c>
      <c r="D131" s="133" t="s">
        <v>1078</v>
      </c>
      <c r="F131" s="152"/>
    </row>
    <row r="132" spans="1:14" ht="42.3" x14ac:dyDescent="0.5">
      <c r="A132" s="135"/>
      <c r="B132" s="121" t="s">
        <v>660</v>
      </c>
      <c r="C132" s="61" t="s">
        <v>1079</v>
      </c>
      <c r="D132" s="133" t="s">
        <v>1080</v>
      </c>
      <c r="F132" s="152"/>
    </row>
    <row r="133" spans="1:14" ht="56.4" x14ac:dyDescent="0.5">
      <c r="A133" s="121" t="s">
        <v>661</v>
      </c>
      <c r="B133" s="121" t="s">
        <v>459</v>
      </c>
      <c r="C133" s="61" t="s">
        <v>1081</v>
      </c>
      <c r="D133" s="133" t="s">
        <v>1082</v>
      </c>
      <c r="G133" s="57"/>
      <c r="H133" s="152"/>
      <c r="I133" s="152"/>
      <c r="J133" s="152"/>
      <c r="K133" s="152"/>
      <c r="L133" s="152"/>
      <c r="M133" s="152"/>
      <c r="N133" s="152"/>
    </row>
  </sheetData>
  <mergeCells count="56">
    <mergeCell ref="A127:A128"/>
    <mergeCell ref="A129:A132"/>
    <mergeCell ref="A94:B94"/>
    <mergeCell ref="A105:D105"/>
    <mergeCell ref="A106:B106"/>
    <mergeCell ref="A116:D116"/>
    <mergeCell ref="A118:D118"/>
    <mergeCell ref="A119:B119"/>
    <mergeCell ref="A78:B78"/>
    <mergeCell ref="C78:D78"/>
    <mergeCell ref="A81:D81"/>
    <mergeCell ref="A83:D83"/>
    <mergeCell ref="A84:B84"/>
    <mergeCell ref="A93:D93"/>
    <mergeCell ref="A75:B75"/>
    <mergeCell ref="C75:D75"/>
    <mergeCell ref="A76:B76"/>
    <mergeCell ref="C76:D76"/>
    <mergeCell ref="A77:B77"/>
    <mergeCell ref="C77:D77"/>
    <mergeCell ref="A72:B72"/>
    <mergeCell ref="C72:D72"/>
    <mergeCell ref="A73:B73"/>
    <mergeCell ref="C73:D73"/>
    <mergeCell ref="A74:B74"/>
    <mergeCell ref="C74:D74"/>
    <mergeCell ref="A69:B69"/>
    <mergeCell ref="C69:D69"/>
    <mergeCell ref="A70:B70"/>
    <mergeCell ref="C70:D70"/>
    <mergeCell ref="A71:B71"/>
    <mergeCell ref="C71:D71"/>
    <mergeCell ref="A66:B66"/>
    <mergeCell ref="C66:D66"/>
    <mergeCell ref="A67:B67"/>
    <mergeCell ref="C67:D67"/>
    <mergeCell ref="A68:B68"/>
    <mergeCell ref="C68:D68"/>
    <mergeCell ref="A60:A61"/>
    <mergeCell ref="A63:D63"/>
    <mergeCell ref="A64:B64"/>
    <mergeCell ref="C64:D64"/>
    <mergeCell ref="A65:B65"/>
    <mergeCell ref="C65:D65"/>
    <mergeCell ref="A30:A38"/>
    <mergeCell ref="A42:D42"/>
    <mergeCell ref="A45:A49"/>
    <mergeCell ref="A51:A52"/>
    <mergeCell ref="A53:A56"/>
    <mergeCell ref="A57:A59"/>
    <mergeCell ref="A1:D1"/>
    <mergeCell ref="A3:A4"/>
    <mergeCell ref="A7:D7"/>
    <mergeCell ref="A9:A16"/>
    <mergeCell ref="A17:A23"/>
    <mergeCell ref="A24:A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workbookViewId="0">
      <selection activeCell="M19" sqref="M19"/>
    </sheetView>
  </sheetViews>
  <sheetFormatPr defaultRowHeight="14.4" x14ac:dyDescent="0.55000000000000004"/>
  <sheetData>
    <row r="1" spans="1:18" ht="64.8" x14ac:dyDescent="0.5500000000000000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5" t="s">
        <v>17</v>
      </c>
    </row>
    <row r="2" spans="1:18" x14ac:dyDescent="0.55000000000000004">
      <c r="A2" s="7" t="s">
        <v>18</v>
      </c>
      <c r="B2" s="3">
        <v>16</v>
      </c>
      <c r="C2" s="4">
        <v>18</v>
      </c>
      <c r="D2" s="4">
        <v>16</v>
      </c>
      <c r="E2" s="4">
        <v>16</v>
      </c>
      <c r="F2" s="4">
        <v>17</v>
      </c>
      <c r="G2" s="4">
        <v>16</v>
      </c>
      <c r="H2" s="4">
        <v>15</v>
      </c>
      <c r="I2" s="4">
        <v>16</v>
      </c>
      <c r="J2" s="4">
        <v>17</v>
      </c>
      <c r="K2" s="4">
        <v>16</v>
      </c>
      <c r="L2" s="4">
        <v>16</v>
      </c>
      <c r="M2" s="4">
        <v>23</v>
      </c>
      <c r="N2" s="4">
        <v>23</v>
      </c>
      <c r="O2" s="4">
        <v>23</v>
      </c>
      <c r="P2" s="4">
        <v>23</v>
      </c>
      <c r="Q2" s="4">
        <v>23</v>
      </c>
      <c r="R2" s="3">
        <f>SUM(B2:Q2)</f>
        <v>294</v>
      </c>
    </row>
    <row r="3" spans="1:18" x14ac:dyDescent="0.55000000000000004">
      <c r="A3" s="7" t="s">
        <v>19</v>
      </c>
      <c r="B3" s="4">
        <v>7</v>
      </c>
      <c r="C3" s="4">
        <v>5</v>
      </c>
      <c r="D3" s="4">
        <v>7</v>
      </c>
      <c r="E3" s="4">
        <v>7</v>
      </c>
      <c r="F3" s="4">
        <v>6</v>
      </c>
      <c r="G3" s="4">
        <v>7</v>
      </c>
      <c r="H3" s="4">
        <v>8</v>
      </c>
      <c r="I3" s="4">
        <v>7</v>
      </c>
      <c r="J3" s="4">
        <v>6</v>
      </c>
      <c r="K3" s="4">
        <v>7</v>
      </c>
      <c r="L3" s="4">
        <v>7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3">
        <f t="shared" ref="R3:R4" si="0">SUM(B3:Q3)</f>
        <v>74</v>
      </c>
    </row>
    <row r="4" spans="1:18" ht="57.6" x14ac:dyDescent="0.55000000000000004">
      <c r="A4" s="7" t="s">
        <v>20</v>
      </c>
      <c r="B4" s="4">
        <v>23</v>
      </c>
      <c r="C4" s="4">
        <v>23</v>
      </c>
      <c r="D4" s="4">
        <v>23</v>
      </c>
      <c r="E4" s="4">
        <v>23</v>
      </c>
      <c r="F4" s="4">
        <v>23</v>
      </c>
      <c r="G4" s="4">
        <v>23</v>
      </c>
      <c r="H4" s="4">
        <v>23</v>
      </c>
      <c r="I4" s="4">
        <v>23</v>
      </c>
      <c r="J4" s="4">
        <v>23</v>
      </c>
      <c r="K4" s="4">
        <v>23</v>
      </c>
      <c r="L4" s="4">
        <v>23</v>
      </c>
      <c r="M4" s="4">
        <v>23</v>
      </c>
      <c r="N4" s="4">
        <v>23</v>
      </c>
      <c r="O4" s="4">
        <v>23</v>
      </c>
      <c r="P4" s="4">
        <v>23</v>
      </c>
      <c r="Q4" s="4">
        <v>23</v>
      </c>
      <c r="R4" s="3">
        <f t="shared" si="0"/>
        <v>368</v>
      </c>
    </row>
    <row r="5" spans="1:18" x14ac:dyDescent="0.55000000000000004">
      <c r="A5" s="102" t="s">
        <v>21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8">
        <f>(R2/R4)*100</f>
        <v>79.891304347826093</v>
      </c>
    </row>
  </sheetData>
  <mergeCells count="1">
    <mergeCell ref="A5:Q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K14" sqref="K14"/>
    </sheetView>
  </sheetViews>
  <sheetFormatPr defaultRowHeight="14.4" x14ac:dyDescent="0.55000000000000004"/>
  <cols>
    <col min="1" max="1" width="17.734375" style="105" customWidth="1"/>
    <col min="2" max="2" width="17.62890625" style="105" customWidth="1"/>
    <col min="3" max="3" width="19.3125" style="105" customWidth="1"/>
    <col min="4" max="4" width="22.41796875" style="105" customWidth="1"/>
    <col min="5" max="5" width="39.83984375" style="105" customWidth="1"/>
    <col min="6" max="6" width="40.05078125" style="105" customWidth="1"/>
    <col min="7" max="7" width="44" style="105" customWidth="1"/>
    <col min="8" max="16384" width="8.83984375" style="105"/>
  </cols>
  <sheetData>
    <row r="1" spans="1:7" ht="14.4" customHeight="1" x14ac:dyDescent="0.55000000000000004">
      <c r="A1" s="211" t="s">
        <v>714</v>
      </c>
      <c r="B1" s="212"/>
      <c r="C1" s="212"/>
      <c r="D1" s="212"/>
      <c r="E1" s="212"/>
    </row>
    <row r="2" spans="1:7" x14ac:dyDescent="0.55000000000000004">
      <c r="A2" s="213" t="s">
        <v>715</v>
      </c>
      <c r="B2" s="213" t="s">
        <v>716</v>
      </c>
      <c r="C2" s="213" t="s">
        <v>717</v>
      </c>
      <c r="D2" s="213" t="s">
        <v>718</v>
      </c>
      <c r="E2" s="213" t="s">
        <v>719</v>
      </c>
    </row>
    <row r="3" spans="1:7" x14ac:dyDescent="0.55000000000000004">
      <c r="A3" s="214" t="s">
        <v>720</v>
      </c>
      <c r="B3" s="69">
        <v>7</v>
      </c>
      <c r="C3" s="69">
        <v>1</v>
      </c>
      <c r="D3" s="69" t="s">
        <v>721</v>
      </c>
      <c r="E3" s="69" t="s">
        <v>437</v>
      </c>
    </row>
    <row r="4" spans="1:7" ht="28.8" x14ac:dyDescent="0.55000000000000004">
      <c r="A4" s="214" t="s">
        <v>722</v>
      </c>
      <c r="B4" s="69">
        <v>1</v>
      </c>
      <c r="C4" s="69">
        <v>14</v>
      </c>
      <c r="D4" s="69" t="s">
        <v>390</v>
      </c>
      <c r="E4" s="69" t="s">
        <v>723</v>
      </c>
      <c r="G4" s="212" t="s">
        <v>1084</v>
      </c>
    </row>
    <row r="5" spans="1:7" ht="28.8" x14ac:dyDescent="0.55000000000000004">
      <c r="A5" s="214" t="s">
        <v>724</v>
      </c>
      <c r="B5" s="69">
        <v>1</v>
      </c>
      <c r="C5" s="69">
        <v>10</v>
      </c>
      <c r="D5" s="69" t="s">
        <v>390</v>
      </c>
      <c r="E5" s="69" t="s">
        <v>725</v>
      </c>
      <c r="G5" s="212"/>
    </row>
    <row r="6" spans="1:7" ht="28.8" x14ac:dyDescent="0.55000000000000004">
      <c r="A6" s="214" t="s">
        <v>726</v>
      </c>
      <c r="B6" s="69">
        <v>0</v>
      </c>
      <c r="C6" s="69">
        <v>5</v>
      </c>
      <c r="D6" s="69" t="s">
        <v>419</v>
      </c>
      <c r="E6" s="69" t="s">
        <v>727</v>
      </c>
    </row>
    <row r="7" spans="1:7" ht="28.8" x14ac:dyDescent="0.55000000000000004">
      <c r="A7" s="214" t="s">
        <v>728</v>
      </c>
      <c r="B7" s="69">
        <v>4</v>
      </c>
      <c r="C7" s="69">
        <v>14</v>
      </c>
      <c r="D7" s="69" t="s">
        <v>729</v>
      </c>
      <c r="E7" s="69" t="s">
        <v>730</v>
      </c>
    </row>
    <row r="8" spans="1:7" ht="28.8" x14ac:dyDescent="0.55000000000000004">
      <c r="A8" s="214" t="s">
        <v>731</v>
      </c>
      <c r="B8" s="69">
        <v>6</v>
      </c>
      <c r="C8" s="69">
        <v>0</v>
      </c>
      <c r="D8" s="69" t="s">
        <v>732</v>
      </c>
      <c r="E8" s="69" t="s">
        <v>771</v>
      </c>
    </row>
    <row r="9" spans="1:7" x14ac:dyDescent="0.55000000000000004">
      <c r="A9" s="103"/>
      <c r="B9" s="103"/>
      <c r="C9" s="103"/>
      <c r="D9" s="103"/>
      <c r="E9" s="103"/>
    </row>
    <row r="10" spans="1:7" x14ac:dyDescent="0.55000000000000004">
      <c r="A10" s="215" t="s">
        <v>817</v>
      </c>
      <c r="B10" s="215"/>
      <c r="C10" s="215"/>
      <c r="D10" s="215"/>
      <c r="E10" s="215"/>
      <c r="F10" s="215"/>
    </row>
    <row r="11" spans="1:7" ht="14.4" customHeight="1" x14ac:dyDescent="0.55000000000000004">
      <c r="A11" s="216" t="s">
        <v>818</v>
      </c>
      <c r="B11" s="216"/>
      <c r="C11" s="217" t="s">
        <v>733</v>
      </c>
      <c r="D11" s="213" t="s">
        <v>734</v>
      </c>
      <c r="E11" s="213" t="s">
        <v>735</v>
      </c>
      <c r="F11" s="217" t="s">
        <v>734</v>
      </c>
    </row>
    <row r="12" spans="1:7" ht="28.8" customHeight="1" x14ac:dyDescent="0.55000000000000004">
      <c r="A12" s="218" t="s">
        <v>736</v>
      </c>
      <c r="B12" s="218"/>
      <c r="C12" s="106" t="s">
        <v>737</v>
      </c>
      <c r="D12" s="106">
        <v>7</v>
      </c>
      <c r="E12" s="106" t="s">
        <v>738</v>
      </c>
      <c r="F12" s="106">
        <v>13</v>
      </c>
    </row>
    <row r="13" spans="1:7" ht="28.8" customHeight="1" x14ac:dyDescent="0.55000000000000004">
      <c r="A13" s="218" t="s">
        <v>500</v>
      </c>
      <c r="B13" s="218"/>
      <c r="C13" s="106" t="s">
        <v>739</v>
      </c>
      <c r="D13" s="106">
        <v>8</v>
      </c>
      <c r="E13" s="106" t="s">
        <v>740</v>
      </c>
      <c r="F13" s="106">
        <v>15</v>
      </c>
    </row>
    <row r="14" spans="1:7" ht="28.8" customHeight="1" x14ac:dyDescent="0.55000000000000004">
      <c r="A14" s="218" t="s">
        <v>741</v>
      </c>
      <c r="B14" s="218"/>
      <c r="C14" s="106" t="s">
        <v>742</v>
      </c>
      <c r="D14" s="106">
        <v>6</v>
      </c>
      <c r="E14" s="106" t="s">
        <v>740</v>
      </c>
      <c r="F14" s="106">
        <v>15</v>
      </c>
    </row>
    <row r="15" spans="1:7" ht="28.8" x14ac:dyDescent="0.55000000000000004">
      <c r="A15" s="218" t="s">
        <v>743</v>
      </c>
      <c r="B15" s="218"/>
      <c r="C15" s="106" t="s">
        <v>744</v>
      </c>
      <c r="D15" s="106">
        <v>2</v>
      </c>
      <c r="E15" s="106" t="s">
        <v>745</v>
      </c>
      <c r="F15" s="106">
        <v>8</v>
      </c>
    </row>
    <row r="16" spans="1:7" ht="28.8" x14ac:dyDescent="0.55000000000000004">
      <c r="A16" s="218" t="s">
        <v>746</v>
      </c>
      <c r="B16" s="218"/>
      <c r="C16" s="106" t="s">
        <v>407</v>
      </c>
      <c r="D16" s="106">
        <v>1</v>
      </c>
      <c r="E16" s="106" t="s">
        <v>747</v>
      </c>
      <c r="F16" s="106">
        <v>10</v>
      </c>
    </row>
    <row r="17" spans="1:7" x14ac:dyDescent="0.55000000000000004">
      <c r="A17" s="218" t="s">
        <v>748</v>
      </c>
      <c r="B17" s="218"/>
      <c r="C17" s="106" t="s">
        <v>419</v>
      </c>
      <c r="D17" s="106">
        <v>0</v>
      </c>
      <c r="E17" s="106" t="s">
        <v>749</v>
      </c>
      <c r="F17" s="106">
        <v>7</v>
      </c>
    </row>
    <row r="18" spans="1:7" ht="28.8" x14ac:dyDescent="0.55000000000000004">
      <c r="A18" s="218" t="s">
        <v>750</v>
      </c>
      <c r="B18" s="218"/>
      <c r="C18" s="106" t="s">
        <v>744</v>
      </c>
      <c r="D18" s="106">
        <v>2</v>
      </c>
      <c r="E18" s="106" t="s">
        <v>751</v>
      </c>
      <c r="F18" s="106">
        <v>11</v>
      </c>
    </row>
    <row r="19" spans="1:7" x14ac:dyDescent="0.55000000000000004">
      <c r="A19" s="218" t="s">
        <v>752</v>
      </c>
      <c r="B19" s="218"/>
      <c r="C19" s="104" t="s">
        <v>814</v>
      </c>
      <c r="D19" s="106">
        <v>2</v>
      </c>
      <c r="E19" s="106" t="s">
        <v>753</v>
      </c>
      <c r="F19" s="106">
        <v>12</v>
      </c>
    </row>
    <row r="20" spans="1:7" x14ac:dyDescent="0.55000000000000004">
      <c r="A20" s="218" t="s">
        <v>754</v>
      </c>
      <c r="B20" s="218"/>
      <c r="C20" s="104" t="s">
        <v>771</v>
      </c>
      <c r="D20" s="106">
        <v>0</v>
      </c>
      <c r="E20" s="106" t="s">
        <v>755</v>
      </c>
      <c r="F20" s="106">
        <v>6</v>
      </c>
    </row>
    <row r="21" spans="1:7" x14ac:dyDescent="0.55000000000000004">
      <c r="A21" s="218" t="s">
        <v>756</v>
      </c>
      <c r="B21" s="218"/>
      <c r="C21" s="104" t="s">
        <v>771</v>
      </c>
      <c r="D21" s="106">
        <v>0</v>
      </c>
      <c r="E21" s="106" t="s">
        <v>757</v>
      </c>
      <c r="F21" s="106">
        <v>4</v>
      </c>
    </row>
    <row r="23" spans="1:7" x14ac:dyDescent="0.55000000000000004">
      <c r="A23" s="211" t="s">
        <v>758</v>
      </c>
      <c r="B23" s="211"/>
      <c r="C23" s="211"/>
      <c r="D23" s="211"/>
      <c r="E23" s="211"/>
      <c r="F23" s="211"/>
      <c r="G23" s="211"/>
    </row>
    <row r="24" spans="1:7" x14ac:dyDescent="0.55000000000000004">
      <c r="A24" s="213" t="s">
        <v>759</v>
      </c>
      <c r="B24" s="213" t="s">
        <v>760</v>
      </c>
      <c r="C24" s="213" t="s">
        <v>761</v>
      </c>
      <c r="D24" s="213" t="s">
        <v>762</v>
      </c>
      <c r="E24" s="213" t="s">
        <v>763</v>
      </c>
      <c r="F24" s="213" t="s">
        <v>764</v>
      </c>
      <c r="G24" s="213" t="s">
        <v>765</v>
      </c>
    </row>
    <row r="25" spans="1:7" ht="28.8" x14ac:dyDescent="0.55000000000000004">
      <c r="A25" s="214" t="s">
        <v>766</v>
      </c>
      <c r="B25" s="104">
        <v>4</v>
      </c>
      <c r="C25" s="104">
        <v>10</v>
      </c>
      <c r="D25" s="104">
        <f>(B25/8)*100</f>
        <v>50</v>
      </c>
      <c r="E25" s="104">
        <f>(C25/15)*100</f>
        <v>66.666666666666657</v>
      </c>
      <c r="F25" s="104" t="s">
        <v>767</v>
      </c>
      <c r="G25" s="104" t="s">
        <v>828</v>
      </c>
    </row>
    <row r="26" spans="1:7" ht="28.8" x14ac:dyDescent="0.55000000000000004">
      <c r="A26" s="214" t="s">
        <v>768</v>
      </c>
      <c r="B26" s="104">
        <v>0</v>
      </c>
      <c r="C26" s="104">
        <v>6</v>
      </c>
      <c r="D26" s="104">
        <f t="shared" ref="D26:D29" si="0">(B26/8)*100</f>
        <v>0</v>
      </c>
      <c r="E26" s="104">
        <f t="shared" ref="E26:E29" si="1">(C26/15)*100</f>
        <v>40</v>
      </c>
      <c r="F26" s="104" t="s">
        <v>419</v>
      </c>
      <c r="G26" s="104" t="s">
        <v>829</v>
      </c>
    </row>
    <row r="27" spans="1:7" ht="28.8" x14ac:dyDescent="0.55000000000000004">
      <c r="A27" s="214" t="s">
        <v>2</v>
      </c>
      <c r="B27" s="104">
        <v>1</v>
      </c>
      <c r="C27" s="104">
        <v>3</v>
      </c>
      <c r="D27" s="104">
        <f t="shared" si="0"/>
        <v>12.5</v>
      </c>
      <c r="E27" s="104">
        <f t="shared" si="1"/>
        <v>20</v>
      </c>
      <c r="F27" s="104" t="s">
        <v>397</v>
      </c>
      <c r="G27" s="104" t="s">
        <v>830</v>
      </c>
    </row>
    <row r="28" spans="1:7" ht="28.8" x14ac:dyDescent="0.55000000000000004">
      <c r="A28" s="214" t="s">
        <v>686</v>
      </c>
      <c r="B28" s="69">
        <v>2</v>
      </c>
      <c r="C28" s="104">
        <v>9</v>
      </c>
      <c r="D28" s="69">
        <f t="shared" si="0"/>
        <v>25</v>
      </c>
      <c r="E28" s="69">
        <f t="shared" si="1"/>
        <v>60</v>
      </c>
      <c r="F28" s="69" t="s">
        <v>744</v>
      </c>
      <c r="G28" s="104" t="s">
        <v>831</v>
      </c>
    </row>
    <row r="29" spans="1:7" x14ac:dyDescent="0.55000000000000004">
      <c r="A29" s="214" t="s">
        <v>769</v>
      </c>
      <c r="B29" s="104">
        <v>1</v>
      </c>
      <c r="C29" s="69">
        <v>7</v>
      </c>
      <c r="D29" s="69">
        <f t="shared" si="0"/>
        <v>12.5</v>
      </c>
      <c r="E29" s="69">
        <f t="shared" si="1"/>
        <v>46.666666666666664</v>
      </c>
      <c r="F29" s="104" t="s">
        <v>390</v>
      </c>
      <c r="G29" s="69" t="s">
        <v>770</v>
      </c>
    </row>
    <row r="31" spans="1:7" x14ac:dyDescent="0.55000000000000004">
      <c r="A31" s="91" t="s">
        <v>772</v>
      </c>
      <c r="B31" s="92"/>
      <c r="C31" s="92"/>
      <c r="D31" s="92"/>
      <c r="E31" s="92"/>
      <c r="F31" s="93"/>
    </row>
    <row r="32" spans="1:7" x14ac:dyDescent="0.55000000000000004">
      <c r="A32" s="213" t="s">
        <v>80</v>
      </c>
      <c r="B32" s="213" t="s">
        <v>773</v>
      </c>
      <c r="C32" s="213" t="s">
        <v>716</v>
      </c>
      <c r="D32" s="213" t="s">
        <v>717</v>
      </c>
      <c r="E32" s="213" t="s">
        <v>718</v>
      </c>
      <c r="F32" s="213" t="s">
        <v>719</v>
      </c>
    </row>
    <row r="33" spans="1:6" ht="43.2" x14ac:dyDescent="0.55000000000000004">
      <c r="A33" s="214" t="s">
        <v>774</v>
      </c>
      <c r="B33" s="214" t="s">
        <v>450</v>
      </c>
      <c r="C33" s="69">
        <v>5</v>
      </c>
      <c r="D33" s="69">
        <v>15</v>
      </c>
      <c r="E33" s="69" t="s">
        <v>775</v>
      </c>
      <c r="F33" s="69" t="s">
        <v>776</v>
      </c>
    </row>
    <row r="34" spans="1:6" ht="43.2" x14ac:dyDescent="0.55000000000000004">
      <c r="A34" s="214" t="s">
        <v>774</v>
      </c>
      <c r="B34" s="214" t="s">
        <v>451</v>
      </c>
      <c r="C34" s="69">
        <v>0</v>
      </c>
      <c r="D34" s="69">
        <v>0</v>
      </c>
      <c r="E34" s="69" t="s">
        <v>419</v>
      </c>
      <c r="F34" s="69" t="s">
        <v>419</v>
      </c>
    </row>
    <row r="35" spans="1:6" ht="28.8" x14ac:dyDescent="0.55000000000000004">
      <c r="A35" s="214" t="s">
        <v>777</v>
      </c>
      <c r="B35" s="214" t="s">
        <v>778</v>
      </c>
      <c r="C35" s="69">
        <v>6</v>
      </c>
      <c r="D35" s="69">
        <v>10</v>
      </c>
      <c r="E35" s="69" t="s">
        <v>732</v>
      </c>
      <c r="F35" s="69" t="s">
        <v>779</v>
      </c>
    </row>
    <row r="36" spans="1:6" ht="28.8" x14ac:dyDescent="0.55000000000000004">
      <c r="A36" s="214" t="s">
        <v>777</v>
      </c>
      <c r="B36" s="214" t="s">
        <v>780</v>
      </c>
      <c r="C36" s="69">
        <v>1</v>
      </c>
      <c r="D36" s="69">
        <v>0</v>
      </c>
      <c r="E36" s="69" t="s">
        <v>409</v>
      </c>
      <c r="F36" s="69" t="s">
        <v>419</v>
      </c>
    </row>
    <row r="37" spans="1:6" ht="28.8" x14ac:dyDescent="0.55000000000000004">
      <c r="A37" s="214" t="s">
        <v>777</v>
      </c>
      <c r="B37" s="214" t="s">
        <v>781</v>
      </c>
      <c r="C37" s="69">
        <v>1</v>
      </c>
      <c r="D37" s="69">
        <v>7</v>
      </c>
      <c r="E37" s="69" t="s">
        <v>411</v>
      </c>
      <c r="F37" s="69" t="s">
        <v>782</v>
      </c>
    </row>
    <row r="38" spans="1:6" x14ac:dyDescent="0.55000000000000004">
      <c r="A38" s="214" t="s">
        <v>777</v>
      </c>
      <c r="B38" s="214" t="s">
        <v>792</v>
      </c>
      <c r="C38" s="69">
        <v>3</v>
      </c>
      <c r="D38" s="69">
        <v>1</v>
      </c>
      <c r="E38" s="69" t="s">
        <v>795</v>
      </c>
      <c r="F38" s="69" t="s">
        <v>175</v>
      </c>
    </row>
    <row r="39" spans="1:6" x14ac:dyDescent="0.55000000000000004">
      <c r="A39" s="214" t="s">
        <v>651</v>
      </c>
      <c r="B39" s="214" t="s">
        <v>403</v>
      </c>
      <c r="C39" s="69">
        <v>3</v>
      </c>
      <c r="D39" s="69">
        <v>0</v>
      </c>
      <c r="E39" s="69" t="s">
        <v>795</v>
      </c>
      <c r="F39" s="69" t="s">
        <v>419</v>
      </c>
    </row>
    <row r="40" spans="1:6" ht="28.8" x14ac:dyDescent="0.55000000000000004">
      <c r="A40" s="214" t="s">
        <v>651</v>
      </c>
      <c r="B40" s="214" t="s">
        <v>794</v>
      </c>
      <c r="C40" s="69">
        <v>4</v>
      </c>
      <c r="D40" s="69">
        <v>3</v>
      </c>
      <c r="E40" s="69" t="s">
        <v>796</v>
      </c>
      <c r="F40" s="69" t="s">
        <v>797</v>
      </c>
    </row>
    <row r="41" spans="1:6" x14ac:dyDescent="0.55000000000000004">
      <c r="A41" s="214" t="s">
        <v>651</v>
      </c>
      <c r="B41" s="214" t="s">
        <v>670</v>
      </c>
      <c r="C41" s="69">
        <v>6</v>
      </c>
      <c r="D41" s="69">
        <v>2</v>
      </c>
      <c r="E41" s="69" t="s">
        <v>783</v>
      </c>
      <c r="F41" s="69" t="s">
        <v>784</v>
      </c>
    </row>
    <row r="42" spans="1:6" x14ac:dyDescent="0.55000000000000004">
      <c r="A42" s="214" t="s">
        <v>785</v>
      </c>
      <c r="B42" s="214" t="s">
        <v>786</v>
      </c>
      <c r="C42" s="69">
        <v>3</v>
      </c>
      <c r="D42" s="69">
        <v>0</v>
      </c>
      <c r="E42" s="69" t="s">
        <v>787</v>
      </c>
      <c r="F42" s="69" t="s">
        <v>419</v>
      </c>
    </row>
    <row r="43" spans="1:6" ht="28.8" x14ac:dyDescent="0.55000000000000004">
      <c r="A43" s="214" t="s">
        <v>785</v>
      </c>
      <c r="B43" s="214" t="s">
        <v>788</v>
      </c>
      <c r="C43" s="69">
        <v>0</v>
      </c>
      <c r="D43" s="69">
        <v>0</v>
      </c>
      <c r="E43" s="69" t="s">
        <v>419</v>
      </c>
      <c r="F43" s="69" t="s">
        <v>419</v>
      </c>
    </row>
    <row r="44" spans="1:6" x14ac:dyDescent="0.55000000000000004">
      <c r="A44" s="214" t="s">
        <v>785</v>
      </c>
      <c r="B44" s="214" t="s">
        <v>698</v>
      </c>
      <c r="C44" s="69">
        <v>1</v>
      </c>
      <c r="D44" s="69">
        <v>0</v>
      </c>
      <c r="E44" s="69" t="s">
        <v>411</v>
      </c>
      <c r="F44" s="69" t="s">
        <v>419</v>
      </c>
    </row>
    <row r="45" spans="1:6" x14ac:dyDescent="0.55000000000000004">
      <c r="A45" s="214" t="s">
        <v>785</v>
      </c>
      <c r="B45" s="214" t="s">
        <v>798</v>
      </c>
      <c r="C45" s="69">
        <v>2</v>
      </c>
      <c r="D45" s="69">
        <v>11</v>
      </c>
      <c r="E45" s="69" t="s">
        <v>800</v>
      </c>
      <c r="F45" s="69" t="s">
        <v>799</v>
      </c>
    </row>
    <row r="46" spans="1:6" ht="28.8" x14ac:dyDescent="0.55000000000000004">
      <c r="A46" s="214" t="s">
        <v>789</v>
      </c>
      <c r="B46" s="214" t="s">
        <v>731</v>
      </c>
      <c r="C46" s="69">
        <v>6</v>
      </c>
      <c r="D46" s="69">
        <v>0</v>
      </c>
      <c r="E46" s="69" t="s">
        <v>732</v>
      </c>
      <c r="F46" s="69" t="s">
        <v>419</v>
      </c>
    </row>
    <row r="47" spans="1:6" x14ac:dyDescent="0.55000000000000004">
      <c r="A47" s="214" t="s">
        <v>789</v>
      </c>
      <c r="B47" s="214" t="s">
        <v>803</v>
      </c>
      <c r="C47" s="69">
        <v>0</v>
      </c>
      <c r="D47" s="69">
        <v>0</v>
      </c>
      <c r="E47" s="69" t="s">
        <v>419</v>
      </c>
      <c r="F47" s="69" t="s">
        <v>419</v>
      </c>
    </row>
    <row r="48" spans="1:6" x14ac:dyDescent="0.55000000000000004">
      <c r="A48" s="214" t="s">
        <v>789</v>
      </c>
      <c r="B48" s="214" t="s">
        <v>804</v>
      </c>
      <c r="C48" s="69">
        <v>0</v>
      </c>
      <c r="D48" s="69">
        <v>0</v>
      </c>
      <c r="E48" s="69" t="s">
        <v>419</v>
      </c>
      <c r="F48" s="69" t="s">
        <v>419</v>
      </c>
    </row>
    <row r="49" spans="1:6" x14ac:dyDescent="0.55000000000000004">
      <c r="A49" s="214" t="s">
        <v>789</v>
      </c>
      <c r="B49" s="214" t="s">
        <v>801</v>
      </c>
      <c r="C49" s="69">
        <v>3</v>
      </c>
      <c r="D49" s="69">
        <v>0</v>
      </c>
      <c r="E49" s="69" t="s">
        <v>802</v>
      </c>
      <c r="F49" s="69" t="s">
        <v>419</v>
      </c>
    </row>
    <row r="50" spans="1:6" ht="28.8" x14ac:dyDescent="0.55000000000000004">
      <c r="A50" s="214" t="s">
        <v>789</v>
      </c>
      <c r="B50" s="214" t="s">
        <v>790</v>
      </c>
      <c r="C50" s="69">
        <v>4</v>
      </c>
      <c r="D50" s="69">
        <v>0</v>
      </c>
      <c r="E50" s="69" t="s">
        <v>791</v>
      </c>
      <c r="F50" s="69" t="s">
        <v>419</v>
      </c>
    </row>
    <row r="51" spans="1:6" x14ac:dyDescent="0.55000000000000004">
      <c r="A51" s="214" t="s">
        <v>808</v>
      </c>
      <c r="B51" s="214" t="s">
        <v>809</v>
      </c>
      <c r="C51" s="69">
        <v>3</v>
      </c>
      <c r="D51" s="69">
        <v>1</v>
      </c>
      <c r="E51" s="69" t="s">
        <v>812</v>
      </c>
      <c r="F51" s="69" t="s">
        <v>164</v>
      </c>
    </row>
    <row r="52" spans="1:6" x14ac:dyDescent="0.55000000000000004">
      <c r="A52" s="214" t="s">
        <v>808</v>
      </c>
      <c r="B52" s="214" t="s">
        <v>402</v>
      </c>
      <c r="C52" s="69">
        <v>2</v>
      </c>
      <c r="D52" s="69">
        <v>0</v>
      </c>
      <c r="E52" s="69" t="s">
        <v>813</v>
      </c>
      <c r="F52" s="69" t="s">
        <v>419</v>
      </c>
    </row>
    <row r="53" spans="1:6" x14ac:dyDescent="0.55000000000000004">
      <c r="A53" s="214" t="s">
        <v>807</v>
      </c>
      <c r="B53" s="219" t="s">
        <v>805</v>
      </c>
      <c r="C53" s="107">
        <v>2</v>
      </c>
      <c r="D53" s="107">
        <v>6</v>
      </c>
      <c r="E53" s="107" t="s">
        <v>814</v>
      </c>
      <c r="F53" s="107" t="s">
        <v>815</v>
      </c>
    </row>
    <row r="54" spans="1:6" x14ac:dyDescent="0.55000000000000004">
      <c r="A54" s="214" t="s">
        <v>807</v>
      </c>
      <c r="B54" s="219" t="s">
        <v>806</v>
      </c>
      <c r="C54" s="107">
        <v>1</v>
      </c>
      <c r="D54" s="107">
        <v>1</v>
      </c>
      <c r="E54" s="107" t="s">
        <v>411</v>
      </c>
      <c r="F54" s="107" t="s">
        <v>164</v>
      </c>
    </row>
    <row r="55" spans="1:6" x14ac:dyDescent="0.55000000000000004">
      <c r="A55" s="214" t="s">
        <v>807</v>
      </c>
      <c r="B55" s="219" t="s">
        <v>810</v>
      </c>
      <c r="C55" s="107">
        <v>1</v>
      </c>
      <c r="D55" s="107">
        <v>4</v>
      </c>
      <c r="E55" s="107" t="s">
        <v>411</v>
      </c>
      <c r="F55" s="107" t="s">
        <v>816</v>
      </c>
    </row>
    <row r="56" spans="1:6" x14ac:dyDescent="0.55000000000000004">
      <c r="A56" s="214" t="s">
        <v>807</v>
      </c>
      <c r="B56" s="219" t="s">
        <v>811</v>
      </c>
      <c r="C56" s="107">
        <v>3</v>
      </c>
      <c r="D56" s="107">
        <v>0</v>
      </c>
      <c r="E56" s="107" t="s">
        <v>812</v>
      </c>
      <c r="F56" s="107" t="s">
        <v>419</v>
      </c>
    </row>
    <row r="57" spans="1:6" x14ac:dyDescent="0.55000000000000004">
      <c r="A57" s="220"/>
      <c r="B57" s="220"/>
    </row>
    <row r="59" spans="1:6" x14ac:dyDescent="0.55000000000000004">
      <c r="A59" s="211" t="s">
        <v>342</v>
      </c>
      <c r="B59" s="211"/>
      <c r="C59" s="211"/>
    </row>
    <row r="60" spans="1:6" x14ac:dyDescent="0.55000000000000004">
      <c r="A60" s="213" t="s">
        <v>343</v>
      </c>
      <c r="B60" s="213" t="s">
        <v>344</v>
      </c>
      <c r="C60" s="213" t="s">
        <v>345</v>
      </c>
    </row>
    <row r="61" spans="1:6" ht="43.2" x14ac:dyDescent="0.55000000000000004">
      <c r="A61" s="221" t="s">
        <v>346</v>
      </c>
      <c r="B61" s="69" t="s">
        <v>347</v>
      </c>
      <c r="C61" s="69" t="s">
        <v>348</v>
      </c>
    </row>
    <row r="62" spans="1:6" ht="28.8" x14ac:dyDescent="0.55000000000000004">
      <c r="A62" s="221" t="s">
        <v>349</v>
      </c>
      <c r="B62" s="69" t="s">
        <v>350</v>
      </c>
      <c r="C62" s="69" t="s">
        <v>351</v>
      </c>
    </row>
    <row r="63" spans="1:6" ht="43.2" x14ac:dyDescent="0.55000000000000004">
      <c r="A63" s="221" t="s">
        <v>352</v>
      </c>
      <c r="B63" s="69" t="s">
        <v>353</v>
      </c>
      <c r="C63" s="69" t="s">
        <v>354</v>
      </c>
    </row>
    <row r="64" spans="1:6" ht="43.2" x14ac:dyDescent="0.55000000000000004">
      <c r="A64" s="221" t="s">
        <v>355</v>
      </c>
      <c r="B64" s="69" t="s">
        <v>356</v>
      </c>
      <c r="C64" s="69" t="s">
        <v>357</v>
      </c>
    </row>
    <row r="65" spans="1:3" ht="43.2" x14ac:dyDescent="0.55000000000000004">
      <c r="A65" s="221" t="s">
        <v>358</v>
      </c>
      <c r="B65" s="69" t="s">
        <v>359</v>
      </c>
      <c r="C65" s="69" t="s">
        <v>360</v>
      </c>
    </row>
    <row r="66" spans="1:3" ht="43.2" x14ac:dyDescent="0.55000000000000004">
      <c r="A66" s="221" t="s">
        <v>361</v>
      </c>
      <c r="B66" s="69" t="s">
        <v>362</v>
      </c>
      <c r="C66" s="69" t="s">
        <v>363</v>
      </c>
    </row>
  </sheetData>
  <mergeCells count="17">
    <mergeCell ref="G4:G5"/>
    <mergeCell ref="A59:C59"/>
    <mergeCell ref="A1:E1"/>
    <mergeCell ref="A11:B11"/>
    <mergeCell ref="A12:B12"/>
    <mergeCell ref="A13:B13"/>
    <mergeCell ref="A14:B14"/>
    <mergeCell ref="A15:B15"/>
    <mergeCell ref="A16:B16"/>
    <mergeCell ref="A17:B17"/>
    <mergeCell ref="A10:F10"/>
    <mergeCell ref="A31:F31"/>
    <mergeCell ref="A21:B21"/>
    <mergeCell ref="A23:G23"/>
    <mergeCell ref="A20:B20"/>
    <mergeCell ref="A18:B18"/>
    <mergeCell ref="A19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Inside content</vt:lpstr>
      <vt:lpstr>Source metadata</vt:lpstr>
      <vt:lpstr>Inclusion Exclusion criteria</vt:lpstr>
      <vt:lpstr>PICOC Search string and counts</vt:lpstr>
      <vt:lpstr>QA check</vt:lpstr>
      <vt:lpstr>Coding matrix evidences</vt:lpstr>
      <vt:lpstr>Code definitions</vt:lpstr>
      <vt:lpstr>Inter coder agreement</vt:lpstr>
      <vt:lpstr>Results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7520</dc:creator>
  <cp:lastModifiedBy>DELL 7520</cp:lastModifiedBy>
  <dcterms:created xsi:type="dcterms:W3CDTF">2026-10-22T13:39:50Z</dcterms:created>
  <dcterms:modified xsi:type="dcterms:W3CDTF">2026-10-23T17:18:06Z</dcterms:modified>
</cp:coreProperties>
</file>